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nostic" sheetId="1" state="visible" r:id="rId3"/>
    <sheet name="Monthly Diagnostic" sheetId="2" state="visible" r:id="rId4"/>
    <sheet name="Sheet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<sst xmlns="http://schemas.openxmlformats.org/spreadsheetml/2006/main" count="279" uniqueCount="131">
  <si>
    <t xml:space="preserve">🎯  DIAGNOSTIC DASHBOARD — SSoT PRIORITAS PEKANAN 2026</t>
  </si>
  <si>
    <t xml:space="preserve">⚙ INPUT</t>
  </si>
  <si>
    <t xml:space="preserve">Bulan (1–12)</t>
  </si>
  <si>
    <t xml:space="preserve">Minggu ke- (1–4)</t>
  </si>
  <si>
    <t xml:space="preserve">← Ubah C2 (bulan 1–12) &amp; E2 (minggu 1–4) untuk refresh semua target</t>
  </si>
  <si>
    <t xml:space="preserve">▌ LAYER 1 — PERUSAHAAN   |   GMV ALL CHANNEL</t>
  </si>
  <si>
    <t xml:space="preserve">Layer</t>
  </si>
  <si>
    <t xml:space="preserve">Metrik</t>
  </si>
  <si>
    <t xml:space="preserve">Keterangan</t>
  </si>
  <si>
    <t xml:space="preserve">Target Bulanan (IDR)</t>
  </si>
  <si>
    <t xml:space="preserve">Target Mingguan (IDR)</t>
  </si>
  <si>
    <t xml:space="preserve">✏ AKTUAL (IDR)</t>
  </si>
  <si>
    <t xml:space="preserve">Gap (IDR)</t>
  </si>
  <si>
    <t xml:space="preserve">Attainment</t>
  </si>
  <si>
    <t xml:space="preserve">Status</t>
  </si>
  <si>
    <t xml:space="preserve">Catatan</t>
  </si>
  <si>
    <t xml:space="preserve">L1</t>
  </si>
  <si>
    <t xml:space="preserve">GMV All Channel</t>
  </si>
  <si>
    <t xml:space="preserve">Dari Sheet1 (Sales Target)</t>
  </si>
  <si>
    <t xml:space="preserve">▌ LAYER 2 — CHANNEL   |   Dekomposisi  Traffic  ×  Conversion Rate  ×  AOV</t>
  </si>
  <si>
    <t xml:space="preserve">Channel</t>
  </si>
  <si>
    <t xml:space="preserve">Target Bulanan</t>
  </si>
  <si>
    <t xml:space="preserve">Target Mingguan</t>
  </si>
  <si>
    <t xml:space="preserve">✏ AKTUAL</t>
  </si>
  <si>
    <t xml:space="preserve">Gap</t>
  </si>
  <si>
    <t xml:space="preserve">Attainment / Delta</t>
  </si>
  <si>
    <t xml:space="preserve">⚡ Diagnosis Lever</t>
  </si>
  <si>
    <t xml:space="preserve">L2</t>
  </si>
  <si>
    <t xml:space="preserve">SHOPEE</t>
  </si>
  <si>
    <t xml:space="preserve">GMV (IDR)</t>
  </si>
  <si>
    <t xml:space="preserve">Traffic (Visitor)</t>
  </si>
  <si>
    <t xml:space="preserve">CVR (%)</t>
  </si>
  <si>
    <t xml:space="preserve">0.072</t>
  </si>
  <si>
    <t xml:space="preserve">AOV (IDR/order)</t>
  </si>
  <si>
    <t xml:space="preserve">105000</t>
  </si>
  <si>
    <t xml:space="preserve">TIKTOKSHOP</t>
  </si>
  <si>
    <t xml:space="preserve">0.05</t>
  </si>
  <si>
    <t xml:space="preserve">37700</t>
  </si>
  <si>
    <t xml:space="preserve">LAZADA</t>
  </si>
  <si>
    <t xml:space="preserve">0.02</t>
  </si>
  <si>
    <t xml:space="preserve">71000</t>
  </si>
  <si>
    <t xml:space="preserve">▌ LAYER 3 — SUB-CHANNEL   |   Root Cause Spesifik</t>
  </si>
  <si>
    <t xml:space="preserve">Sub-Channel (% kontribusi)</t>
  </si>
  <si>
    <t xml:space="preserve">GMV Target Bulanan</t>
  </si>
  <si>
    <t xml:space="preserve">GMV Target Mingguan</t>
  </si>
  <si>
    <t xml:space="preserve">✏ GMV AKTUAL</t>
  </si>
  <si>
    <t xml:space="preserve">L3</t>
  </si>
  <si>
    <t xml:space="preserve">Live ID  (25%)</t>
  </si>
  <si>
    <t xml:space="preserve">Affiliate  (15%)</t>
  </si>
  <si>
    <t xml:space="preserve">Short Video  (0.5%)</t>
  </si>
  <si>
    <t xml:space="preserve">Livestream  (20%)</t>
  </si>
  <si>
    <t xml:space="preserve">Affiliate Video  (80%)</t>
  </si>
  <si>
    <t xml:space="preserve">Lazada ID  (semua)</t>
  </si>
  <si>
    <t xml:space="preserve">▌ RINGKASAN DIAGNOSTIK OTOMATIS — Prioritas Tindakan Minggu Ini</t>
  </si>
  <si>
    <t xml:space="preserve">🔴 Channel Terburuk</t>
  </si>
  <si>
    <t xml:space="preserve">🟡 Lever Drag</t>
  </si>
  <si>
    <t xml:space="preserve">🟢 Sub-Channel Kritis</t>
  </si>
  <si>
    <t xml:space="preserve">▌ PANDUAN</t>
  </si>
  <si>
    <t xml:space="preserve">① Ubah C2 = bulan (1–12)  ② Ubah E2 = minggu ke- (1–4)  ③ Isi sel KUNING (aktual)  ④ Baca Ringkasan baris 37-39  │  ✅ ≥100%   ⚠️ 90-99%   🚨 &lt;90%   │  Kuning = input  │  Hijau = target dari Sheet1</t>
  </si>
  <si>
    <t xml:space="preserve">📅  MONTHLY DIAGNOSTIC — Full-Year Monitoring 2026</t>
  </si>
  <si>
    <t xml:space="preserve">Bulan Aktif</t>
  </si>
  <si>
    <t xml:space="preserve">← Ubah B2 (1–12) untuk melihat detail channel &amp; sub-channel bulan terpilih di bawah</t>
  </si>
  <si>
    <t xml:space="preserve">▌ LAYER 1 — PERUSAHAAN   |   GMV Full-Year Tracker (Target vs Aktual)</t>
  </si>
  <si>
    <t xml:space="preserve">Bulan</t>
  </si>
  <si>
    <t xml:space="preserve">Q</t>
  </si>
  <si>
    <t xml:space="preserve">Target GMV (IDR)</t>
  </si>
  <si>
    <t xml:space="preserve">✏ Aktual GMV (IDR)</t>
  </si>
  <si>
    <t xml:space="preserve">MoM Growth</t>
  </si>
  <si>
    <t xml:space="preserve">Januari</t>
  </si>
  <si>
    <t xml:space="preserve">Q1</t>
  </si>
  <si>
    <t xml:space="preserve">–</t>
  </si>
  <si>
    <t xml:space="preserve">Februari</t>
  </si>
  <si>
    <t xml:space="preserve">Maret</t>
  </si>
  <si>
    <t xml:space="preserve">April</t>
  </si>
  <si>
    <t xml:space="preserve">Q2</t>
  </si>
  <si>
    <t xml:space="preserve">Mei</t>
  </si>
  <si>
    <t xml:space="preserve">Juni</t>
  </si>
  <si>
    <t xml:space="preserve">Juli</t>
  </si>
  <si>
    <t xml:space="preserve">Q3</t>
  </si>
  <si>
    <t xml:space="preserve">Agustus</t>
  </si>
  <si>
    <t xml:space="preserve">September</t>
  </si>
  <si>
    <t xml:space="preserve">Oktober</t>
  </si>
  <si>
    <t xml:space="preserve">Q4</t>
  </si>
  <si>
    <t xml:space="preserve">November</t>
  </si>
  <si>
    <t xml:space="preserve">Desember</t>
  </si>
  <si>
    <t xml:space="preserve">Partial jika belum semua bulan Q1 terisi</t>
  </si>
  <si>
    <t xml:space="preserve">Partial jika belum semua bulan Q2 terisi</t>
  </si>
  <si>
    <t xml:space="preserve">Partial jika belum semua bulan Q3 terisi</t>
  </si>
  <si>
    <t xml:space="preserve">Partial jika belum semua bulan Q4 terisi</t>
  </si>
  <si>
    <t xml:space="preserve">YTD</t>
  </si>
  <si>
    <t xml:space="preserve">Total target tahunan IDR 40 Miliar</t>
  </si>
  <si>
    <t xml:space="preserve">▌ LAYER 2 — CHANNEL   |   Detail Bulan Terpilih — Traffic × CVR × AOV</t>
  </si>
  <si>
    <t xml:space="preserve">✏ Aktual</t>
  </si>
  <si>
    <t xml:space="preserve">▌ LAYER 3 — SUB-CHANNEL   |   Detail Bulan Terpilih</t>
  </si>
  <si>
    <t xml:space="preserve">Sub-Channel</t>
  </si>
  <si>
    <t xml:space="preserve">✏ GMV Aktual</t>
  </si>
  <si>
    <t xml:space="preserve">▌ RINGKASAN DIAGNOSTIK BULANAN — Prioritas Tindakan</t>
  </si>
  <si>
    <t xml:space="preserve">▌ PANDUAN: isi sel KUNING (aktual). B2 = bulan terpilih untuk detail L2/L3. D6:D17 = aktual tiap bulan YTD.</t>
  </si>
  <si>
    <t xml:space="preserve">Doa 2026 (Stretch)</t>
  </si>
  <si>
    <t xml:space="preserve">Timeframe</t>
  </si>
  <si>
    <t xml:space="preserve">Doa</t>
  </si>
  <si>
    <t xml:space="preserve">Lazada</t>
  </si>
  <si>
    <t xml:space="preserve">Shopee</t>
  </si>
  <si>
    <t xml:space="preserve">Qpreneur</t>
  </si>
  <si>
    <t xml:space="preserve">Tiktokshop</t>
  </si>
  <si>
    <t xml:space="preserve">Gift &amp; Souvenir</t>
  </si>
  <si>
    <t xml:space="preserve">July</t>
  </si>
  <si>
    <t xml:space="preserve">August</t>
  </si>
  <si>
    <t xml:space="preserve">October</t>
  </si>
  <si>
    <t xml:space="preserve">December</t>
  </si>
  <si>
    <t xml:space="preserve">TOTAL</t>
  </si>
  <si>
    <t xml:space="preserve">GMV per day</t>
  </si>
  <si>
    <t xml:space="preserve">GMV per week</t>
  </si>
  <si>
    <t xml:space="preserve">SHOPEE LIVE ID</t>
  </si>
  <si>
    <t xml:space="preserve">AFFILIATE (Khania)</t>
  </si>
  <si>
    <t xml:space="preserve">VIDEO </t>
  </si>
  <si>
    <t xml:space="preserve">SHOPEE MY</t>
  </si>
  <si>
    <t xml:space="preserve">VIDEO</t>
  </si>
  <si>
    <t xml:space="preserve">DIKELOLA SHOPEE</t>
  </si>
  <si>
    <t xml:space="preserve">SHOPEE LIVE MY</t>
  </si>
  <si>
    <t xml:space="preserve">SHOPEE AFFILIATE MY</t>
  </si>
  <si>
    <t xml:space="preserve">SHOPEE VIDEO MY</t>
  </si>
  <si>
    <t xml:space="preserve">CONVERSION</t>
  </si>
  <si>
    <t xml:space="preserve">TRAFFIC</t>
  </si>
  <si>
    <t xml:space="preserve">AVERAGE SALES</t>
  </si>
  <si>
    <t xml:space="preserve">TIKTOK</t>
  </si>
  <si>
    <t xml:space="preserve">LIVESTREAM</t>
  </si>
  <si>
    <t xml:space="preserve">AFFILIATE</t>
  </si>
  <si>
    <t xml:space="preserve">OWN ACCOUNT</t>
  </si>
  <si>
    <t xml:space="preserve">TRAFFIC VIDEO</t>
  </si>
  <si>
    <t xml:space="preserve">DOA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</si>
</sst>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0.00%"/>
    <numFmt numFmtId="168" formatCode="\+0.00%;\-0.00%;\-"/>
    <numFmt numFmtId="169" formatCode="\+0.0%;\-0.0%;\-"/>
    <numFmt numFmtId="170" formatCode="_-[$Rp-3809]* #,##0_-;\-[$Rp-3809]* #,##0_-;_-[$Rp-3809]* \-??_-;_-@_-"/>
    <numFmt numFmtId="171" formatCode="_(&quot;Rp&quot;* #,##0_);_(&quot;Rp&quot;* \(#,##0\);_(&quot;Rp&quot;* \-_);_(@_)"/>
    <numFmt numFmtId="172" formatCode="0%"/>
    <numFmt numFmtId="173" formatCode="_(&quot;IDR&quot;* #,##0_);_(&quot;IDR&quot;* \(#,##0\);_(&quot;IDR&quot;* \-_);_(@_)"/>
    <numFmt numFmtId="174" formatCode="_(* #,##0_);_(* \(#,##0\);_(* \-_);_(@_)"/>
    <numFmt numFmtId="175" formatCode="_(&quot;Rp&quot;* #,##0.0_);_(&quot;Rp&quot;* \(#,##0.0\);_(&quot;Rp&quot;* \-?_);_(@_)"/>
    <numFmt numFmtId="176" formatCode="_(&quot;Rp&quot;* #,##0.00_);_(&quot;Rp&quot;* \(#,##0.00\);_(&quot;Rp&quot;* \-??_);_(@_)"/>
    <numFmt numFmtId="177" formatCode="_(&quot;Rp&quot;* #,##0_);_(&quot;Rp&quot;* \(#,##0\);_(&quot;Rp&quot;* \-??_);_(@_)"/>
  </numFmts>
  <fonts count="2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7B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2"/>
      <color theme="0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264C47"/>
      </patternFill>
    </fill>
    <fill>
      <patternFill patternType="solid">
        <fgColor rgb="FF404040"/>
        <bgColor rgb="FF264C47"/>
      </patternFill>
    </fill>
    <fill>
      <patternFill patternType="solid">
        <fgColor rgb="FFDDEBF7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FFFDE7"/>
        <bgColor rgb="FFFFFFFF"/>
      </patternFill>
    </fill>
    <fill>
      <patternFill patternType="solid">
        <fgColor rgb="FFBDD7EE"/>
        <bgColor rgb="FFD6E4F0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4472C4"/>
      </patternFill>
    </fill>
    <fill>
      <patternFill patternType="solid">
        <fgColor rgb="FF217346"/>
        <bgColor rgb="FF375623"/>
      </patternFill>
    </fill>
    <fill>
      <patternFill patternType="solid">
        <fgColor rgb="FFFFFFFF"/>
        <bgColor rgb="FFFFFDE7"/>
      </patternFill>
    </fill>
    <fill>
      <patternFill patternType="solid">
        <fgColor rgb="FF2D2D2D"/>
        <bgColor rgb="FF404040"/>
      </patternFill>
    </fill>
    <fill>
      <patternFill patternType="solid">
        <fgColor rgb="FFF07521"/>
        <bgColor rgb="FFFF7B00"/>
      </patternFill>
    </fill>
    <fill>
      <patternFill patternType="solid">
        <fgColor rgb="FF4472C4"/>
        <bgColor rgb="FF2E75B6"/>
      </patternFill>
    </fill>
    <fill>
      <patternFill patternType="solid">
        <fgColor rgb="FFDAEEF3"/>
        <bgColor rgb="FFDDEBF7"/>
      </patternFill>
    </fill>
    <fill>
      <patternFill patternType="solid">
        <fgColor rgb="FFC55A11"/>
        <bgColor rgb="FFF07521"/>
      </patternFill>
    </fill>
    <fill>
      <patternFill patternType="solid">
        <fgColor rgb="FFFCE4D6"/>
        <bgColor rgb="FFEEDDCA"/>
      </patternFill>
    </fill>
    <fill>
      <patternFill patternType="solid">
        <fgColor rgb="FFE2EFDA"/>
        <bgColor rgb="FFDAEEF3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DDEBF7"/>
      </patternFill>
    </fill>
    <fill>
      <patternFill patternType="solid">
        <fgColor rgb="FF264C47"/>
        <bgColor rgb="FF375623"/>
      </patternFill>
    </fill>
    <fill>
      <patternFill patternType="solid">
        <fgColor rgb="FFEEDDCA"/>
        <bgColor rgb="FFFCE4D6"/>
      </patternFill>
    </fill>
    <fill>
      <patternFill patternType="solid">
        <fgColor theme="8" tint="0.7999"/>
        <bgColor rgb="FFFFC7CE"/>
      </patternFill>
    </fill>
    <fill>
      <patternFill patternType="solid">
        <fgColor rgb="FFFFFF00"/>
        <bgColor rgb="FFFFEB9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7" fillId="2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7" fillId="2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375623"/>
      </font>
      <fill>
        <patternFill>
          <bgColor rgb="FFC6EFCE"/>
        </patternFill>
      </fill>
    </dxf>
    <dxf>
      <font>
        <b val="1"/>
        <color rgb="FF7F60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217346"/>
      <rgbColor rgb="FFF2CFEE"/>
      <rgbColor rgb="FF808080"/>
      <rgbColor rgb="FFE2EFDA"/>
      <rgbColor rgb="FF993366"/>
      <rgbColor rgb="FFFFFDE7"/>
      <rgbColor rgb="FFDAEEF3"/>
      <rgbColor rgb="FF660066"/>
      <rgbColor rgb="FFFF8080"/>
      <rgbColor rgb="FF2E75B6"/>
      <rgbColor rgb="FFBDD7EE"/>
      <rgbColor rgb="FF000080"/>
      <rgbColor rgb="FFFF00FF"/>
      <rgbColor rgb="FFFFF2CC"/>
      <rgbColor rgb="FF00FFFF"/>
      <rgbColor rgb="FF800080"/>
      <rgbColor rgb="FFC00000"/>
      <rgbColor rgb="FF008080"/>
      <rgbColor rgb="FF0000FF"/>
      <rgbColor rgb="FF00CCFF"/>
      <rgbColor rgb="FFDDEBF7"/>
      <rgbColor rgb="FFC6EFCE"/>
      <rgbColor rgb="FFFFEB9C"/>
      <rgbColor rgb="FFD6E4F0"/>
      <rgbColor rgb="FFEEDDCA"/>
      <rgbColor rgb="FFFCE4D6"/>
      <rgbColor rgb="FFFFC7CE"/>
      <rgbColor rgb="FF4472C4"/>
      <rgbColor rgb="FF33CCCC"/>
      <rgbColor rgb="FF99CC00"/>
      <rgbColor rgb="FFF2F2F2"/>
      <rgbColor rgb="FFF07521"/>
      <rgbColor rgb="FFFF7B00"/>
      <rgbColor rgb="FF595959"/>
      <rgbColor rgb="FFEBF3FB"/>
      <rgbColor rgb="FF1F3864"/>
      <rgbColor rgb="FF339966"/>
      <rgbColor rgb="FF375623"/>
      <rgbColor rgb="FF404040"/>
      <rgbColor rgb="FFC55A11"/>
      <rgbColor rgb="FF993366"/>
      <rgbColor rgb="FF264C47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4921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7" min="5" style="1" width="20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30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3" t="s">
        <v>1</v>
      </c>
      <c r="B2" s="4" t="s">
        <v>2</v>
      </c>
      <c r="C2" s="5" t="n">
        <v>6</v>
      </c>
      <c r="D2" s="4" t="s">
        <v>3</v>
      </c>
      <c r="E2" s="5" t="n">
        <v>1</v>
      </c>
      <c r="F2" s="6" t="s">
        <v>4</v>
      </c>
      <c r="G2" s="6"/>
      <c r="H2" s="6"/>
      <c r="I2" s="6"/>
      <c r="J2" s="6"/>
    </row>
    <row r="3" customFormat="false" ht="6" hidden="false" customHeight="true" outlineLevel="0" collapsed="false"/>
    <row r="4" customFormat="false" ht="19.5" hidden="false" customHeight="true" outlineLevel="0" collapsed="false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</row>
    <row r="5" customFormat="false" ht="31.5" hidden="false" customHeight="true" outlineLevel="0" collapsed="false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</row>
    <row r="6" customFormat="false" ht="21.75" hidden="false" customHeight="true" outlineLevel="0" collapsed="false">
      <c r="A6" s="9" t="s">
        <v>16</v>
      </c>
      <c r="B6" s="10" t="s">
        <v>17</v>
      </c>
      <c r="C6" s="10"/>
      <c r="D6" s="11" t="n">
        <f aca="false">INDEX(Sheet1!$B$4:$B$15,$C$2)</f>
        <v>3900811279.66667</v>
      </c>
      <c r="E6" s="12" t="n">
        <f aca="false">D6/$E$2</f>
        <v>3900811279.66667</v>
      </c>
      <c r="F6" s="13"/>
      <c r="G6" s="12" t="str">
        <f aca="false">IF(F6="","",F6-E6)</f>
        <v/>
      </c>
      <c r="H6" s="14" t="str">
        <f aca="false">IF(F6="","",IFERROR(F6/E6,0))</f>
        <v/>
      </c>
      <c r="I6" s="15" t="str">
        <f aca="false">IF(F6="","–",IF(H6&gt;=1,"✅ On Track",IF(H6&gt;=0.9,"⚠️ Caution","🚨 Lagging")))</f>
        <v>–</v>
      </c>
      <c r="J6" s="16" t="s">
        <v>18</v>
      </c>
    </row>
    <row r="7" customFormat="false" ht="6" hidden="false" customHeight="true" outlineLevel="0" collapsed="false"/>
    <row r="8" customFormat="false" ht="19.5" hidden="false" customHeight="true" outlineLevel="0" collapsed="false">
      <c r="A8" s="17" t="s">
        <v>19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31.5" hidden="false" customHeight="true" outlineLevel="0" collapsed="false">
      <c r="A9" s="18" t="s">
        <v>6</v>
      </c>
      <c r="B9" s="18" t="s">
        <v>20</v>
      </c>
      <c r="C9" s="18" t="s">
        <v>7</v>
      </c>
      <c r="D9" s="18" t="s">
        <v>21</v>
      </c>
      <c r="E9" s="18" t="s">
        <v>22</v>
      </c>
      <c r="F9" s="18" t="s">
        <v>23</v>
      </c>
      <c r="G9" s="18" t="s">
        <v>24</v>
      </c>
      <c r="H9" s="18" t="s">
        <v>25</v>
      </c>
      <c r="I9" s="18" t="s">
        <v>14</v>
      </c>
      <c r="J9" s="18" t="s">
        <v>26</v>
      </c>
    </row>
    <row r="10" customFormat="false" ht="18" hidden="false" customHeight="true" outlineLevel="0" collapsed="false">
      <c r="A10" s="19" t="s">
        <v>27</v>
      </c>
      <c r="B10" s="20" t="s">
        <v>28</v>
      </c>
      <c r="C10" s="21" t="s">
        <v>29</v>
      </c>
      <c r="D10" s="11" t="n">
        <f aca="false">INDEX(Sheet1!$D$4:$D$15,$C$2)</f>
        <v>2613543557.37667</v>
      </c>
      <c r="E10" s="12" t="n">
        <f aca="false">D10/$E$2</f>
        <v>2613543557.37667</v>
      </c>
      <c r="F10" s="13"/>
      <c r="G10" s="12" t="str">
        <f aca="false">IF(F10="","",F10-E10)</f>
        <v/>
      </c>
      <c r="H10" s="14" t="str">
        <f aca="false">IF(F10="","",IFERROR(F10/E10,0))</f>
        <v/>
      </c>
      <c r="I10" s="22" t="str">
        <f aca="false">IF(F10="","–",IF(H10&gt;=1,"✅",IF(H10&gt;=0.9,"⚠️","🚨")))</f>
        <v>–</v>
      </c>
      <c r="J10" s="23" t="str">
        <f aca="false">IF(OR(F11="",F12="",F13=""),"isi aktual dulu",IF(AND(H11&lt;=H12,H11&lt;=H13),"⬇ Traffic drag",IF(AND(H12&lt;=H11,H12&lt;=H13),"⬇ CVR drag","⬇ AOV drag")))</f>
        <v>isi aktual dulu</v>
      </c>
    </row>
    <row r="11" customFormat="false" ht="18" hidden="false" customHeight="true" outlineLevel="0" collapsed="false">
      <c r="A11" s="19"/>
      <c r="B11" s="19"/>
      <c r="C11" s="24" t="s">
        <v>30</v>
      </c>
      <c r="D11" s="25" t="n">
        <f aca="false">INDEX(Sheet1!$N$24:$N$35,$C$2)</f>
        <v>399000</v>
      </c>
      <c r="E11" s="26" t="n">
        <f aca="false">D11/$E$2</f>
        <v>399000</v>
      </c>
      <c r="F11" s="13"/>
      <c r="G11" s="26" t="str">
        <f aca="false">IF(F11="","",F11-E11)</f>
        <v/>
      </c>
      <c r="H11" s="27" t="str">
        <f aca="false">IF(F11="","",IFERROR(F11/E11,0))</f>
        <v/>
      </c>
      <c r="I11" s="28" t="str">
        <f aca="false">IF(F11="","–",IF(H11&gt;=1,"✅",IF(H11&gt;=0.9,"⚠️","🚨")))</f>
        <v>–</v>
      </c>
      <c r="J11" s="24"/>
    </row>
    <row r="12" customFormat="false" ht="18" hidden="false" customHeight="true" outlineLevel="0" collapsed="false">
      <c r="A12" s="19"/>
      <c r="B12" s="19"/>
      <c r="C12" s="21" t="s">
        <v>31</v>
      </c>
      <c r="D12" s="29" t="s">
        <v>32</v>
      </c>
      <c r="E12" s="30" t="str">
        <f aca="false">D12</f>
        <v>0.072</v>
      </c>
      <c r="F12" s="31"/>
      <c r="G12" s="32" t="str">
        <f aca="false">IF(F12="","",F12-E12)</f>
        <v/>
      </c>
      <c r="H12" s="14" t="str">
        <f aca="false">IF(F12="","",IFERROR(F12/E12,0))</f>
        <v/>
      </c>
      <c r="I12" s="22" t="str">
        <f aca="false">IF(F12="","–",IF(H12&gt;=1,"✅",IF(H12&gt;=0.9,"⚠️","🚨")))</f>
        <v>–</v>
      </c>
      <c r="J12" s="21"/>
    </row>
    <row r="13" customFormat="false" ht="18" hidden="false" customHeight="true" outlineLevel="0" collapsed="false">
      <c r="A13" s="19"/>
      <c r="B13" s="19"/>
      <c r="C13" s="24" t="s">
        <v>33</v>
      </c>
      <c r="D13" s="25" t="s">
        <v>34</v>
      </c>
      <c r="E13" s="33" t="str">
        <f aca="false">D13</f>
        <v>105000</v>
      </c>
      <c r="F13" s="34"/>
      <c r="G13" s="33" t="str">
        <f aca="false">IF(F13="","",F13-E13)</f>
        <v/>
      </c>
      <c r="H13" s="27" t="str">
        <f aca="false">IF(F13="","",IFERROR(F13/E13,0))</f>
        <v/>
      </c>
      <c r="I13" s="28" t="str">
        <f aca="false">IF(F13="","–",IF(H13&gt;=1,"✅",IF(H13&gt;=0.9,"⚠️","🚨")))</f>
        <v>–</v>
      </c>
      <c r="J13" s="24"/>
    </row>
    <row r="14" customFormat="false" ht="4.5" hidden="false" customHeight="true" outlineLevel="0" collapsed="false"/>
    <row r="15" customFormat="false" ht="18" hidden="false" customHeight="true" outlineLevel="0" collapsed="false">
      <c r="A15" s="19" t="s">
        <v>27</v>
      </c>
      <c r="B15" s="35" t="s">
        <v>35</v>
      </c>
      <c r="C15" s="21" t="s">
        <v>29</v>
      </c>
      <c r="D15" s="11" t="n">
        <f aca="false">INDEX(Sheet1!$F$4:$F$15,$C$2)</f>
        <v>1150739327.50167</v>
      </c>
      <c r="E15" s="12" t="n">
        <f aca="false">D15/$E$2</f>
        <v>1150739327.50167</v>
      </c>
      <c r="F15" s="13"/>
      <c r="G15" s="12" t="str">
        <f aca="false">IF(F15="","",F15-E15)</f>
        <v/>
      </c>
      <c r="H15" s="14" t="str">
        <f aca="false">IF(F15="","",IFERROR(F15/E15,0))</f>
        <v/>
      </c>
      <c r="I15" s="22" t="str">
        <f aca="false">IF(F15="","–",IF(H15&gt;=1,"✅",IF(H15&gt;=0.9,"⚠️","🚨")))</f>
        <v>–</v>
      </c>
      <c r="J15" s="23" t="str">
        <f aca="false">IF(OR(F16="",F17="",F18=""),"isi aktual dulu",IF(AND(H16&lt;=H17,H16&lt;=H18),"⬇ Traffic drag",IF(AND(H17&lt;=H16,H17&lt;=H18),"⬇ CVR drag","⬇ AOV drag")))</f>
        <v>isi aktual dulu</v>
      </c>
    </row>
    <row r="16" customFormat="false" ht="18" hidden="false" customHeight="true" outlineLevel="0" collapsed="false">
      <c r="A16" s="19"/>
      <c r="B16" s="19"/>
      <c r="C16" s="24" t="s">
        <v>30</v>
      </c>
      <c r="D16" s="25" t="n">
        <f aca="false">INDEX(Sheet1!$G$43:$G$54,$C$2)</f>
        <v>710000</v>
      </c>
      <c r="E16" s="26" t="n">
        <f aca="false">D16/$E$2</f>
        <v>710000</v>
      </c>
      <c r="F16" s="13"/>
      <c r="G16" s="26" t="str">
        <f aca="false">IF(F16="","",F16-E16)</f>
        <v/>
      </c>
      <c r="H16" s="27" t="str">
        <f aca="false">IF(F16="","",IFERROR(F16/E16,0))</f>
        <v/>
      </c>
      <c r="I16" s="28" t="str">
        <f aca="false">IF(F16="","–",IF(H16&gt;=1,"✅",IF(H16&gt;=0.9,"⚠️","🚨")))</f>
        <v>–</v>
      </c>
      <c r="J16" s="24"/>
    </row>
    <row r="17" customFormat="false" ht="18" hidden="false" customHeight="true" outlineLevel="0" collapsed="false">
      <c r="A17" s="19"/>
      <c r="B17" s="19"/>
      <c r="C17" s="21" t="s">
        <v>31</v>
      </c>
      <c r="D17" s="29" t="s">
        <v>36</v>
      </c>
      <c r="E17" s="30" t="str">
        <f aca="false">D17</f>
        <v>0.05</v>
      </c>
      <c r="F17" s="31"/>
      <c r="G17" s="32" t="str">
        <f aca="false">IF(F17="","",F17-E17)</f>
        <v/>
      </c>
      <c r="H17" s="14" t="str">
        <f aca="false">IF(F17="","",IFERROR(F17/E17,0))</f>
        <v/>
      </c>
      <c r="I17" s="22" t="str">
        <f aca="false">IF(F17="","–",IF(H17&gt;=1,"✅",IF(H17&gt;=0.9,"⚠️","🚨")))</f>
        <v>–</v>
      </c>
      <c r="J17" s="21"/>
    </row>
    <row r="18" customFormat="false" ht="18" hidden="false" customHeight="true" outlineLevel="0" collapsed="false">
      <c r="A18" s="19"/>
      <c r="B18" s="19"/>
      <c r="C18" s="24" t="s">
        <v>33</v>
      </c>
      <c r="D18" s="25" t="s">
        <v>37</v>
      </c>
      <c r="E18" s="33" t="str">
        <f aca="false">D18</f>
        <v>37700</v>
      </c>
      <c r="F18" s="34"/>
      <c r="G18" s="33" t="str">
        <f aca="false">IF(F18="","",F18-E18)</f>
        <v/>
      </c>
      <c r="H18" s="27" t="str">
        <f aca="false">IF(F18="","",IFERROR(F18/E18,0))</f>
        <v/>
      </c>
      <c r="I18" s="28" t="str">
        <f aca="false">IF(F18="","–",IF(H18&gt;=1,"✅",IF(H18&gt;=0.9,"⚠️","🚨")))</f>
        <v>–</v>
      </c>
      <c r="J18" s="24"/>
    </row>
    <row r="19" customFormat="false" ht="4.5" hidden="false" customHeight="true" outlineLevel="0" collapsed="false"/>
    <row r="20" customFormat="false" ht="18" hidden="false" customHeight="true" outlineLevel="0" collapsed="false">
      <c r="A20" s="19" t="s">
        <v>27</v>
      </c>
      <c r="B20" s="36" t="s">
        <v>38</v>
      </c>
      <c r="C20" s="21" t="s">
        <v>29</v>
      </c>
      <c r="D20" s="11" t="n">
        <f aca="false">INDEX(Sheet1!$C$4:$C$15,$C$2)</f>
        <v>39008112.7966667</v>
      </c>
      <c r="E20" s="12" t="n">
        <f aca="false">D20/$E$2</f>
        <v>39008112.7966667</v>
      </c>
      <c r="F20" s="13"/>
      <c r="G20" s="12" t="str">
        <f aca="false">IF(F20="","",F20-E20)</f>
        <v/>
      </c>
      <c r="H20" s="14" t="str">
        <f aca="false">IF(F20="","",IFERROR(F20/E20,0))</f>
        <v/>
      </c>
      <c r="I20" s="22" t="str">
        <f aca="false">IF(F20="","–",IF(H20&gt;=1,"✅",IF(H20&gt;=0.9,"⚠️","🚨")))</f>
        <v>–</v>
      </c>
      <c r="J20" s="23" t="str">
        <f aca="false">IF(OR(F21="",F22="",F23=""),"isi aktual dulu",IF(AND(H21&lt;=H22,H21&lt;=H23),"⬇ Traffic drag",IF(AND(H22&lt;=H21,H22&lt;=H23),"⬇ CVR drag","⬇ AOV drag")))</f>
        <v>isi aktual dulu</v>
      </c>
    </row>
    <row r="21" customFormat="false" ht="18" hidden="false" customHeight="true" outlineLevel="0" collapsed="false">
      <c r="A21" s="19"/>
      <c r="B21" s="19"/>
      <c r="C21" s="24" t="s">
        <v>30</v>
      </c>
      <c r="D21" s="25" t="n">
        <f aca="false">INDEX(Sheet1!$D$62:$D$73,$C$2)</f>
        <v>32000</v>
      </c>
      <c r="E21" s="26" t="n">
        <f aca="false">D21/$E$2</f>
        <v>32000</v>
      </c>
      <c r="F21" s="13"/>
      <c r="G21" s="26" t="str">
        <f aca="false">IF(F21="","",F21-E21)</f>
        <v/>
      </c>
      <c r="H21" s="27" t="str">
        <f aca="false">IF(F21="","",IFERROR(F21/E21,0))</f>
        <v/>
      </c>
      <c r="I21" s="28" t="str">
        <f aca="false">IF(F21="","–",IF(H21&gt;=1,"✅",IF(H21&gt;=0.9,"⚠️","🚨")))</f>
        <v>–</v>
      </c>
      <c r="J21" s="24"/>
    </row>
    <row r="22" customFormat="false" ht="18" hidden="false" customHeight="true" outlineLevel="0" collapsed="false">
      <c r="A22" s="19"/>
      <c r="B22" s="19"/>
      <c r="C22" s="21" t="s">
        <v>31</v>
      </c>
      <c r="D22" s="29" t="s">
        <v>39</v>
      </c>
      <c r="E22" s="30" t="str">
        <f aca="false">D22</f>
        <v>0.02</v>
      </c>
      <c r="F22" s="31"/>
      <c r="G22" s="32" t="str">
        <f aca="false">IF(F22="","",F22-E22)</f>
        <v/>
      </c>
      <c r="H22" s="14" t="str">
        <f aca="false">IF(F22="","",IFERROR(F22/E22,0))</f>
        <v/>
      </c>
      <c r="I22" s="22" t="str">
        <f aca="false">IF(F22="","–",IF(H22&gt;=1,"✅",IF(H22&gt;=0.9,"⚠️","🚨")))</f>
        <v>–</v>
      </c>
      <c r="J22" s="21"/>
    </row>
    <row r="23" customFormat="false" ht="18" hidden="false" customHeight="true" outlineLevel="0" collapsed="false">
      <c r="A23" s="19"/>
      <c r="B23" s="19"/>
      <c r="C23" s="24" t="s">
        <v>33</v>
      </c>
      <c r="D23" s="25" t="s">
        <v>40</v>
      </c>
      <c r="E23" s="33" t="str">
        <f aca="false">D23</f>
        <v>71000</v>
      </c>
      <c r="F23" s="34"/>
      <c r="G23" s="33" t="str">
        <f aca="false">IF(F23="","",F23-E23)</f>
        <v/>
      </c>
      <c r="H23" s="27" t="str">
        <f aca="false">IF(F23="","",IFERROR(F23/E23,0))</f>
        <v/>
      </c>
      <c r="I23" s="28" t="str">
        <f aca="false">IF(F23="","–",IF(H23&gt;=1,"✅",IF(H23&gt;=0.9,"⚠️","🚨")))</f>
        <v>–</v>
      </c>
      <c r="J23" s="24"/>
    </row>
    <row r="24" customFormat="false" ht="4.5" hidden="false" customHeight="true" outlineLevel="0" collapsed="false"/>
    <row r="25" customFormat="false" ht="19.5" hidden="false" customHeight="true" outlineLevel="0" collapsed="false">
      <c r="A25" s="37" t="s">
        <v>41</v>
      </c>
      <c r="B25" s="37"/>
      <c r="C25" s="37"/>
      <c r="D25" s="37"/>
      <c r="E25" s="37"/>
      <c r="F25" s="37"/>
      <c r="G25" s="37"/>
      <c r="H25" s="37"/>
      <c r="I25" s="37"/>
      <c r="J25" s="37"/>
    </row>
    <row r="26" customFormat="false" ht="31.5" hidden="false" customHeight="true" outlineLevel="0" collapsed="false">
      <c r="A26" s="38" t="s">
        <v>6</v>
      </c>
      <c r="B26" s="38" t="s">
        <v>20</v>
      </c>
      <c r="C26" s="38" t="s">
        <v>42</v>
      </c>
      <c r="D26" s="38" t="s">
        <v>43</v>
      </c>
      <c r="E26" s="38" t="s">
        <v>44</v>
      </c>
      <c r="F26" s="38" t="s">
        <v>45</v>
      </c>
      <c r="G26" s="38" t="s">
        <v>12</v>
      </c>
      <c r="H26" s="38" t="s">
        <v>13</v>
      </c>
      <c r="I26" s="38" t="s">
        <v>14</v>
      </c>
      <c r="J26" s="38" t="s">
        <v>15</v>
      </c>
    </row>
    <row r="27" customFormat="false" ht="18" hidden="false" customHeight="true" outlineLevel="0" collapsed="false">
      <c r="A27" s="39" t="s">
        <v>46</v>
      </c>
      <c r="B27" s="40" t="s">
        <v>28</v>
      </c>
      <c r="C27" s="24" t="s">
        <v>47</v>
      </c>
      <c r="D27" s="25" t="n">
        <f aca="false">INDEX(Sheet1!$C$24:$C$35,$C$2)</f>
        <v>653385889.344167</v>
      </c>
      <c r="E27" s="26" t="n">
        <f aca="false">D27/$E$2</f>
        <v>653385889.344167</v>
      </c>
      <c r="F27" s="13"/>
      <c r="G27" s="26" t="str">
        <f aca="false">IF(F27="","",F27-E27)</f>
        <v/>
      </c>
      <c r="H27" s="27" t="str">
        <f aca="false">IF(F27="","",IFERROR(F27/E27,0))</f>
        <v/>
      </c>
      <c r="I27" s="28" t="str">
        <f aca="false">IF(F27="","–",IF(H27&gt;=1,"✅",IF(H27&gt;=0.9,"⚠️","🚨")))</f>
        <v>–</v>
      </c>
      <c r="J27" s="41"/>
    </row>
    <row r="28" customFormat="false" ht="18" hidden="false" customHeight="true" outlineLevel="0" collapsed="false">
      <c r="A28" s="39" t="s">
        <v>46</v>
      </c>
      <c r="B28" s="40" t="s">
        <v>28</v>
      </c>
      <c r="C28" s="21" t="s">
        <v>48</v>
      </c>
      <c r="D28" s="11" t="n">
        <f aca="false">INDEX(Sheet1!$D$24:$D$35,$C$2)</f>
        <v>392031533.6065</v>
      </c>
      <c r="E28" s="12" t="n">
        <f aca="false">D28/$E$2</f>
        <v>392031533.6065</v>
      </c>
      <c r="F28" s="13"/>
      <c r="G28" s="12" t="str">
        <f aca="false">IF(F28="","",F28-E28)</f>
        <v/>
      </c>
      <c r="H28" s="14" t="str">
        <f aca="false">IF(F28="","",IFERROR(F28/E28,0))</f>
        <v/>
      </c>
      <c r="I28" s="22" t="str">
        <f aca="false">IF(F28="","–",IF(H28&gt;=1,"✅",IF(H28&gt;=0.9,"⚠️","🚨")))</f>
        <v>–</v>
      </c>
      <c r="J28" s="16"/>
    </row>
    <row r="29" customFormat="false" ht="18" hidden="false" customHeight="true" outlineLevel="0" collapsed="false">
      <c r="A29" s="39" t="s">
        <v>46</v>
      </c>
      <c r="B29" s="40" t="s">
        <v>28</v>
      </c>
      <c r="C29" s="24" t="s">
        <v>49</v>
      </c>
      <c r="D29" s="25" t="n">
        <f aca="false">INDEX(Sheet1!$E$24:$E$35,$C$2)</f>
        <v>13067717.7868833</v>
      </c>
      <c r="E29" s="26" t="n">
        <f aca="false">D29/$E$2</f>
        <v>13067717.7868833</v>
      </c>
      <c r="F29" s="13"/>
      <c r="G29" s="26" t="str">
        <f aca="false">IF(F29="","",F29-E29)</f>
        <v/>
      </c>
      <c r="H29" s="27" t="str">
        <f aca="false">IF(F29="","",IFERROR(F29/E29,0))</f>
        <v/>
      </c>
      <c r="I29" s="28" t="str">
        <f aca="false">IF(F29="","–",IF(H29&gt;=1,"✅",IF(H29&gt;=0.9,"⚠️","🚨")))</f>
        <v>–</v>
      </c>
      <c r="J29" s="41"/>
    </row>
    <row r="30" customFormat="false" ht="3.75" hidden="false" customHeight="true" outlineLevel="0" collapsed="false"/>
    <row r="31" customFormat="false" ht="18" hidden="false" customHeight="true" outlineLevel="0" collapsed="false">
      <c r="A31" s="39" t="s">
        <v>46</v>
      </c>
      <c r="B31" s="42" t="s">
        <v>35</v>
      </c>
      <c r="C31" s="24" t="s">
        <v>50</v>
      </c>
      <c r="D31" s="25" t="n">
        <f aca="false">INDEX(Sheet1!$C$43:$C$54,$C$2)</f>
        <v>230147865.500333</v>
      </c>
      <c r="E31" s="26" t="n">
        <f aca="false">D31/$E$2</f>
        <v>230147865.500333</v>
      </c>
      <c r="F31" s="13"/>
      <c r="G31" s="26" t="str">
        <f aca="false">IF(F31="","",F31-E31)</f>
        <v/>
      </c>
      <c r="H31" s="27" t="str">
        <f aca="false">IF(F31="","",IFERROR(F31/E31,0))</f>
        <v/>
      </c>
      <c r="I31" s="28" t="str">
        <f aca="false">IF(F31="","–",IF(H31&gt;=1,"✅",IF(H31&gt;=0.9,"⚠️","🚨")))</f>
        <v>–</v>
      </c>
      <c r="J31" s="41"/>
    </row>
    <row r="32" customFormat="false" ht="18" hidden="false" customHeight="true" outlineLevel="0" collapsed="false">
      <c r="A32" s="39" t="s">
        <v>46</v>
      </c>
      <c r="B32" s="42" t="s">
        <v>35</v>
      </c>
      <c r="C32" s="21" t="s">
        <v>51</v>
      </c>
      <c r="D32" s="11" t="n">
        <f aca="false">INDEX(Sheet1!$D$43:$D$54,$C$2)</f>
        <v>920591462.001333</v>
      </c>
      <c r="E32" s="12" t="n">
        <f aca="false">D32/$E$2</f>
        <v>920591462.001333</v>
      </c>
      <c r="F32" s="13"/>
      <c r="G32" s="12" t="str">
        <f aca="false">IF(F32="","",F32-E32)</f>
        <v/>
      </c>
      <c r="H32" s="14" t="str">
        <f aca="false">IF(F32="","",IFERROR(F32/E32,0))</f>
        <v/>
      </c>
      <c r="I32" s="22" t="str">
        <f aca="false">IF(F32="","–",IF(H32&gt;=1,"✅",IF(H32&gt;=0.9,"⚠️","🚨")))</f>
        <v>–</v>
      </c>
      <c r="J32" s="16"/>
    </row>
    <row r="33" customFormat="false" ht="3.75" hidden="false" customHeight="true" outlineLevel="0" collapsed="false"/>
    <row r="34" customFormat="false" ht="18" hidden="false" customHeight="true" outlineLevel="0" collapsed="false">
      <c r="A34" s="39" t="s">
        <v>46</v>
      </c>
      <c r="B34" s="43" t="s">
        <v>38</v>
      </c>
      <c r="C34" s="24" t="s">
        <v>52</v>
      </c>
      <c r="D34" s="25" t="n">
        <f aca="false">INDEX(Sheet1!$B$62:$B$73,$C$2)</f>
        <v>39008112.7966667</v>
      </c>
      <c r="E34" s="26" t="n">
        <f aca="false">D34/$E$2</f>
        <v>39008112.7966667</v>
      </c>
      <c r="F34" s="13"/>
      <c r="G34" s="26" t="str">
        <f aca="false">IF(F34="","",F34-E34)</f>
        <v/>
      </c>
      <c r="H34" s="27" t="str">
        <f aca="false">IF(F34="","",IFERROR(F34/E34,0))</f>
        <v/>
      </c>
      <c r="I34" s="28" t="str">
        <f aca="false">IF(F34="","–",IF(H34&gt;=1,"✅",IF(H34&gt;=0.9,"⚠️","🚨")))</f>
        <v>–</v>
      </c>
      <c r="J34" s="41"/>
    </row>
    <row r="35" customFormat="false" ht="6" hidden="false" customHeight="true" outlineLevel="0" collapsed="false"/>
    <row r="36" customFormat="false" ht="19.5" hidden="false" customHeight="true" outlineLevel="0" collapsed="false">
      <c r="A36" s="44" t="s">
        <v>53</v>
      </c>
      <c r="B36" s="44"/>
      <c r="C36" s="44"/>
      <c r="D36" s="44"/>
      <c r="E36" s="44"/>
      <c r="F36" s="44"/>
      <c r="G36" s="44"/>
      <c r="H36" s="44"/>
      <c r="I36" s="44"/>
      <c r="J36" s="44"/>
    </row>
    <row r="37" customFormat="false" ht="24" hidden="false" customHeight="true" outlineLevel="0" collapsed="false">
      <c r="A37" s="45" t="s">
        <v>54</v>
      </c>
      <c r="B37" s="45"/>
      <c r="C37" s="46" t="str">
        <f aca="false">IF(AND(F10="",F15="",F20=""),"– isi aktual terlebih dahulu",IF(AND(H10&lt;=H15,H10&lt;=H20),"🚨 SHOPEE → "&amp;TEXT(H10,"0.0%")&amp;" attainment",IF(AND(H15&lt;=H10,H15&lt;=H20),"🚨 TIKTOKSHOP → "&amp;TEXT(H15,"0.0%")&amp;" attainment","🚨 LAZADA → "&amp;TEXT(H20,"0.0%")&amp;" attainment")))</f>
        <v>– isi aktual terlebih dahulu</v>
      </c>
      <c r="D37" s="46"/>
      <c r="E37" s="46"/>
      <c r="F37" s="46"/>
      <c r="G37" s="46"/>
      <c r="H37" s="46"/>
      <c r="I37" s="46"/>
      <c r="J37" s="46"/>
    </row>
    <row r="38" customFormat="false" ht="24" hidden="false" customHeight="true" outlineLevel="0" collapsed="false">
      <c r="A38" s="47" t="s">
        <v>55</v>
      </c>
      <c r="B38" s="47"/>
      <c r="C38" s="48" t="str">
        <f aca="false">IF(AND(F10="",F15="",F20=""),"– isi aktual terlebih dahulu","Lihat kolom J (⚡ Diagnosis) pada masing-masing channel di Layer 2 di atas")</f>
        <v>– isi aktual terlebih dahulu</v>
      </c>
      <c r="D38" s="48"/>
      <c r="E38" s="48"/>
      <c r="F38" s="48"/>
      <c r="G38" s="48"/>
      <c r="H38" s="48"/>
      <c r="I38" s="48"/>
      <c r="J38" s="48"/>
    </row>
    <row r="39" customFormat="false" ht="24" hidden="false" customHeight="true" outlineLevel="0" collapsed="false">
      <c r="A39" s="49" t="s">
        <v>56</v>
      </c>
      <c r="B39" s="49"/>
      <c r="C39" s="50" t="str">
        <f aca="false">IF(AND(F27="",F28="",F29="",F31="",F32=""),"– isi aktual terlebih dahulu",IF(AND(H27&lt;=H28,H27&lt;=H29,H27&lt;=H31,H27&lt;=H32),"🚨 Shopee Live → "&amp;TEXT(H27,"0.0%"),IF(AND(H28&lt;=H27,H28&lt;=H29,H28&lt;=H31,H28&lt;=H32),"🚨 Shopee Affiliate → "&amp;TEXT(H28,"0.0%"),IF(AND(H29&lt;=H27,H29&lt;=H28,H29&lt;=H31,H29&lt;=H32),"🚨 Shopee Video → "&amp;TEXT(H29,"0.0%"),IF(AND(H31&lt;=H27,H31&lt;=H28,H31&lt;=H29,H31&lt;=H32),"🚨 TT Livestream → "&amp;TEXT(H31,"0.0%"),"🚨 TT Affiliate → "&amp;TEXT(H32,"0.0%"))))))</f>
        <v>– isi aktual terlebih dahulu</v>
      </c>
      <c r="D39" s="50"/>
      <c r="E39" s="50"/>
      <c r="F39" s="50"/>
      <c r="G39" s="50"/>
      <c r="H39" s="50"/>
      <c r="I39" s="50"/>
      <c r="J39" s="50"/>
    </row>
    <row r="40" customFormat="false" ht="6" hidden="false" customHeight="true" outlineLevel="0" collapsed="false"/>
    <row r="41" customFormat="false" ht="15.75" hidden="false" customHeight="true" outlineLevel="0" collapsed="false">
      <c r="A41" s="51" t="s">
        <v>57</v>
      </c>
      <c r="B41" s="51"/>
      <c r="C41" s="51"/>
      <c r="D41" s="51"/>
      <c r="E41" s="51"/>
      <c r="F41" s="51"/>
      <c r="G41" s="51"/>
      <c r="H41" s="51"/>
      <c r="I41" s="51"/>
      <c r="J41" s="51"/>
    </row>
    <row r="42" customFormat="false" ht="18" hidden="false" customHeight="true" outlineLevel="0" collapsed="false">
      <c r="A42" s="52" t="s">
        <v>58</v>
      </c>
      <c r="B42" s="52"/>
      <c r="C42" s="52"/>
      <c r="D42" s="52"/>
      <c r="E42" s="52"/>
      <c r="F42" s="52"/>
      <c r="G42" s="52"/>
      <c r="H42" s="52"/>
      <c r="I42" s="52"/>
      <c r="J42" s="52"/>
    </row>
  </sheetData>
  <mergeCells count="21">
    <mergeCell ref="A1:J1"/>
    <mergeCell ref="F2:J2"/>
    <mergeCell ref="A4:J4"/>
    <mergeCell ref="B6:C6"/>
    <mergeCell ref="A8:J8"/>
    <mergeCell ref="A10:A13"/>
    <mergeCell ref="B10:B13"/>
    <mergeCell ref="A15:A18"/>
    <mergeCell ref="B15:B18"/>
    <mergeCell ref="A20:A23"/>
    <mergeCell ref="B20:B23"/>
    <mergeCell ref="A25:J25"/>
    <mergeCell ref="A36:J36"/>
    <mergeCell ref="A37:B37"/>
    <mergeCell ref="C37:J37"/>
    <mergeCell ref="A38:B38"/>
    <mergeCell ref="C38:J38"/>
    <mergeCell ref="A39:B39"/>
    <mergeCell ref="C39:J39"/>
    <mergeCell ref="A41:J41"/>
    <mergeCell ref="A42:J42"/>
  </mergeCells>
  <conditionalFormatting sqref="H6:H39">
    <cfRule type="expression" priority="2" aboveAverage="0" equalAverage="0" bottom="0" percent="0" rank="0" text="" dxfId="0">
      <formula>AND(H6&lt;&gt;"",H6&gt;=1)</formula>
    </cfRule>
    <cfRule type="expression" priority="3" aboveAverage="0" equalAverage="0" bottom="0" percent="0" rank="0" text="" dxfId="1">
      <formula>AND(H6&lt;&gt;"",H6&gt;=0.9)</formula>
    </cfRule>
    <cfRule type="expression" priority="4" aboveAverage="0" equalAverage="0" bottom="0" percent="0" rank="0" text="" dxfId="2">
      <formula>AND(H6&lt;&gt;"",H6&lt;0.9)</formula>
    </cfRule>
  </conditionalFormatting>
  <conditionalFormatting sqref="G6:G39">
    <cfRule type="expression" priority="5" aboveAverage="0" equalAverage="0" bottom="0" percent="0" rank="0" text="" dxfId="0">
      <formula>AND(G6&lt;&gt;"",G6&gt;=0)</formula>
    </cfRule>
    <cfRule type="expression" priority="6" aboveAverage="0" equalAverage="0" bottom="0" percent="0" rank="0" text="" dxfId="2">
      <formula>AND(G6&lt;&gt;"",G6&lt;0)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4921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"/>
    <col collapsed="false" customWidth="true" hidden="false" outlineLevel="0" max="3" min="3" style="1" width="24"/>
    <col collapsed="false" customWidth="true" hidden="false" outlineLevel="0" max="5" min="4" style="1" width="22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9" min="9" style="1" width="32"/>
  </cols>
  <sheetData>
    <row r="1" customFormat="false" ht="37.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  <c r="I1" s="2"/>
    </row>
    <row r="2" customFormat="false" ht="24" hidden="false" customHeight="true" outlineLevel="0" collapsed="false">
      <c r="A2" s="4" t="s">
        <v>60</v>
      </c>
      <c r="B2" s="5" t="n">
        <v>6</v>
      </c>
      <c r="C2" s="6" t="s">
        <v>61</v>
      </c>
      <c r="D2" s="6"/>
      <c r="E2" s="6"/>
      <c r="F2" s="6"/>
      <c r="G2" s="6"/>
      <c r="H2" s="6"/>
      <c r="I2" s="6"/>
    </row>
    <row r="3" customFormat="false" ht="6" hidden="false" customHeight="true" outlineLevel="0" collapsed="false"/>
    <row r="4" customFormat="false" ht="19.5" hidden="false" customHeight="true" outlineLevel="0" collapsed="false">
      <c r="A4" s="7" t="s">
        <v>62</v>
      </c>
      <c r="B4" s="7"/>
      <c r="C4" s="7"/>
      <c r="D4" s="7"/>
      <c r="E4" s="7"/>
      <c r="F4" s="7"/>
      <c r="G4" s="7"/>
      <c r="H4" s="7"/>
      <c r="I4" s="7"/>
    </row>
    <row r="5" customFormat="false" ht="30" hidden="false" customHeight="true" outlineLevel="0" collapsed="false">
      <c r="A5" s="8" t="s">
        <v>63</v>
      </c>
      <c r="B5" s="8" t="s">
        <v>64</v>
      </c>
      <c r="C5" s="8" t="s">
        <v>65</v>
      </c>
      <c r="D5" s="8" t="s">
        <v>66</v>
      </c>
      <c r="E5" s="8" t="s">
        <v>12</v>
      </c>
      <c r="F5" s="8" t="s">
        <v>13</v>
      </c>
      <c r="G5" s="8" t="s">
        <v>14</v>
      </c>
      <c r="H5" s="8" t="s">
        <v>67</v>
      </c>
      <c r="I5" s="8" t="s">
        <v>15</v>
      </c>
    </row>
    <row r="6" customFormat="false" ht="19.5" hidden="false" customHeight="true" outlineLevel="0" collapsed="false">
      <c r="A6" s="24" t="s">
        <v>68</v>
      </c>
      <c r="B6" s="53" t="s">
        <v>69</v>
      </c>
      <c r="C6" s="25" t="n">
        <f aca="false">INDEX(Sheet1!$B$4:$B$15,1)</f>
        <v>2263625828.33333</v>
      </c>
      <c r="D6" s="13"/>
      <c r="E6" s="26" t="str">
        <f aca="false">IF(D6="","",D6-C6)</f>
        <v/>
      </c>
      <c r="F6" s="27" t="str">
        <f aca="false">IF(D6="","",IFERROR(D6/C6,0))</f>
        <v/>
      </c>
      <c r="G6" s="54" t="str">
        <f aca="false">IF(D6="","–",IF(F6&gt;=1,"✅",IF(F6&gt;=0.9,"⚠️","🚨")))</f>
        <v>–</v>
      </c>
      <c r="H6" s="53" t="s">
        <v>70</v>
      </c>
      <c r="I6" s="41"/>
    </row>
    <row r="7" customFormat="false" ht="19.5" hidden="false" customHeight="true" outlineLevel="0" collapsed="false">
      <c r="A7" s="21" t="s">
        <v>71</v>
      </c>
      <c r="B7" s="55" t="s">
        <v>69</v>
      </c>
      <c r="C7" s="11" t="n">
        <f aca="false">INDEX(Sheet1!$B$4:$B$15,2)</f>
        <v>2263625828.33333</v>
      </c>
      <c r="D7" s="13"/>
      <c r="E7" s="12" t="str">
        <f aca="false">IF(D7="","",D7-C7)</f>
        <v/>
      </c>
      <c r="F7" s="14" t="str">
        <f aca="false">IF(D7="","",IFERROR(D7/C7,0))</f>
        <v/>
      </c>
      <c r="G7" s="15" t="str">
        <f aca="false">IF(D7="","–",IF(F7&gt;=1,"✅",IF(F7&gt;=0.9,"⚠️","🚨")))</f>
        <v>–</v>
      </c>
      <c r="H7" s="56" t="str">
        <f aca="false">IF(OR(D7="",D6=""),"",IFERROR(D7/D6-1,""))</f>
        <v/>
      </c>
      <c r="I7" s="16"/>
    </row>
    <row r="8" customFormat="false" ht="19.5" hidden="false" customHeight="true" outlineLevel="0" collapsed="false">
      <c r="A8" s="24" t="s">
        <v>72</v>
      </c>
      <c r="B8" s="53" t="s">
        <v>69</v>
      </c>
      <c r="C8" s="25" t="n">
        <f aca="false">INDEX(Sheet1!$B$4:$B$15,3)</f>
        <v>2263625828.33333</v>
      </c>
      <c r="D8" s="13"/>
      <c r="E8" s="26" t="str">
        <f aca="false">IF(D8="","",D8-C8)</f>
        <v/>
      </c>
      <c r="F8" s="27" t="str">
        <f aca="false">IF(D8="","",IFERROR(D8/C8,0))</f>
        <v/>
      </c>
      <c r="G8" s="54" t="str">
        <f aca="false">IF(D8="","–",IF(F8&gt;=1,"✅",IF(F8&gt;=0.9,"⚠️","🚨")))</f>
        <v>–</v>
      </c>
      <c r="H8" s="57" t="str">
        <f aca="false">IF(OR(D8="",D7=""),"",IFERROR(D8/D7-1,""))</f>
        <v/>
      </c>
      <c r="I8" s="41"/>
    </row>
    <row r="9" customFormat="false" ht="19.5" hidden="false" customHeight="true" outlineLevel="0" collapsed="false">
      <c r="A9" s="21" t="s">
        <v>73</v>
      </c>
      <c r="B9" s="55" t="s">
        <v>74</v>
      </c>
      <c r="C9" s="11" t="n">
        <f aca="false">INDEX(Sheet1!$B$4:$B$15,4)</f>
        <v>3900811279.66667</v>
      </c>
      <c r="D9" s="13"/>
      <c r="E9" s="12" t="str">
        <f aca="false">IF(D9="","",D9-C9)</f>
        <v/>
      </c>
      <c r="F9" s="14" t="str">
        <f aca="false">IF(D9="","",IFERROR(D9/C9,0))</f>
        <v/>
      </c>
      <c r="G9" s="15" t="str">
        <f aca="false">IF(D9="","–",IF(F9&gt;=1,"✅",IF(F9&gt;=0.9,"⚠️","🚨")))</f>
        <v>–</v>
      </c>
      <c r="H9" s="56" t="str">
        <f aca="false">IF(OR(D9="",D8=""),"",IFERROR(D9/D8-1,""))</f>
        <v/>
      </c>
      <c r="I9" s="16"/>
    </row>
    <row r="10" customFormat="false" ht="19.5" hidden="false" customHeight="true" outlineLevel="0" collapsed="false">
      <c r="A10" s="24" t="s">
        <v>75</v>
      </c>
      <c r="B10" s="53" t="s">
        <v>74</v>
      </c>
      <c r="C10" s="25" t="n">
        <f aca="false">INDEX(Sheet1!$B$4:$B$15,5)</f>
        <v>3900811279.66667</v>
      </c>
      <c r="D10" s="13"/>
      <c r="E10" s="26" t="str">
        <f aca="false">IF(D10="","",D10-C10)</f>
        <v/>
      </c>
      <c r="F10" s="27" t="str">
        <f aca="false">IF(D10="","",IFERROR(D10/C10,0))</f>
        <v/>
      </c>
      <c r="G10" s="54" t="str">
        <f aca="false">IF(D10="","–",IF(F10&gt;=1,"✅",IF(F10&gt;=0.9,"⚠️","🚨")))</f>
        <v>–</v>
      </c>
      <c r="H10" s="57" t="str">
        <f aca="false">IF(OR(D10="",D9=""),"",IFERROR(D10/D9-1,""))</f>
        <v/>
      </c>
      <c r="I10" s="41"/>
    </row>
    <row r="11" customFormat="false" ht="19.5" hidden="false" customHeight="true" outlineLevel="0" collapsed="false">
      <c r="A11" s="21" t="s">
        <v>76</v>
      </c>
      <c r="B11" s="55" t="s">
        <v>74</v>
      </c>
      <c r="C11" s="11" t="n">
        <f aca="false">INDEX(Sheet1!$B$4:$B$15,6)</f>
        <v>3900811279.66667</v>
      </c>
      <c r="D11" s="13"/>
      <c r="E11" s="12" t="str">
        <f aca="false">IF(D11="","",D11-C11)</f>
        <v/>
      </c>
      <c r="F11" s="14" t="str">
        <f aca="false">IF(D11="","",IFERROR(D11/C11,0))</f>
        <v/>
      </c>
      <c r="G11" s="15" t="str">
        <f aca="false">IF(D11="","–",IF(F11&gt;=1,"✅",IF(F11&gt;=0.9,"⚠️","🚨")))</f>
        <v>–</v>
      </c>
      <c r="H11" s="56" t="str">
        <f aca="false">IF(OR(D11="",D10=""),"",IFERROR(D11/D10-1,""))</f>
        <v/>
      </c>
      <c r="I11" s="16"/>
    </row>
    <row r="12" customFormat="false" ht="19.5" hidden="false" customHeight="true" outlineLevel="0" collapsed="false">
      <c r="A12" s="24" t="s">
        <v>77</v>
      </c>
      <c r="B12" s="53" t="s">
        <v>78</v>
      </c>
      <c r="C12" s="25" t="n">
        <f aca="false">INDEX(Sheet1!$B$4:$B$15,7)</f>
        <v>3418126013</v>
      </c>
      <c r="D12" s="13"/>
      <c r="E12" s="26" t="str">
        <f aca="false">IF(D12="","",D12-C12)</f>
        <v/>
      </c>
      <c r="F12" s="27" t="str">
        <f aca="false">IF(D12="","",IFERROR(D12/C12,0))</f>
        <v/>
      </c>
      <c r="G12" s="54" t="str">
        <f aca="false">IF(D12="","–",IF(F12&gt;=1,"✅",IF(F12&gt;=0.9,"⚠️","🚨")))</f>
        <v>–</v>
      </c>
      <c r="H12" s="57" t="str">
        <f aca="false">IF(OR(D12="",D11=""),"",IFERROR(D12/D11-1,""))</f>
        <v/>
      </c>
      <c r="I12" s="41"/>
    </row>
    <row r="13" customFormat="false" ht="19.5" hidden="false" customHeight="true" outlineLevel="0" collapsed="false">
      <c r="A13" s="21" t="s">
        <v>79</v>
      </c>
      <c r="B13" s="55" t="s">
        <v>78</v>
      </c>
      <c r="C13" s="11" t="n">
        <f aca="false">INDEX(Sheet1!$B$4:$B$15,8)</f>
        <v>3418126013</v>
      </c>
      <c r="D13" s="13"/>
      <c r="E13" s="12" t="str">
        <f aca="false">IF(D13="","",D13-C13)</f>
        <v/>
      </c>
      <c r="F13" s="14" t="str">
        <f aca="false">IF(D13="","",IFERROR(D13/C13,0))</f>
        <v/>
      </c>
      <c r="G13" s="15" t="str">
        <f aca="false">IF(D13="","–",IF(F13&gt;=1,"✅",IF(F13&gt;=0.9,"⚠️","🚨")))</f>
        <v>–</v>
      </c>
      <c r="H13" s="56" t="str">
        <f aca="false">IF(OR(D13="",D12=""),"",IFERROR(D13/D12-1,""))</f>
        <v/>
      </c>
      <c r="I13" s="16"/>
    </row>
    <row r="14" customFormat="false" ht="19.5" hidden="false" customHeight="true" outlineLevel="0" collapsed="false">
      <c r="A14" s="24" t="s">
        <v>80</v>
      </c>
      <c r="B14" s="53" t="s">
        <v>78</v>
      </c>
      <c r="C14" s="25" t="n">
        <f aca="false">INDEX(Sheet1!$B$4:$B$15,9)</f>
        <v>3418126013</v>
      </c>
      <c r="D14" s="13"/>
      <c r="E14" s="26" t="str">
        <f aca="false">IF(D14="","",D14-C14)</f>
        <v/>
      </c>
      <c r="F14" s="27" t="str">
        <f aca="false">IF(D14="","",IFERROR(D14/C14,0))</f>
        <v/>
      </c>
      <c r="G14" s="54" t="str">
        <f aca="false">IF(D14="","–",IF(F14&gt;=1,"✅",IF(F14&gt;=0.9,"⚠️","🚨")))</f>
        <v>–</v>
      </c>
      <c r="H14" s="57" t="str">
        <f aca="false">IF(OR(D14="",D13=""),"",IFERROR(D14/D13-1,""))</f>
        <v/>
      </c>
      <c r="I14" s="41"/>
    </row>
    <row r="15" customFormat="false" ht="19.5" hidden="false" customHeight="true" outlineLevel="0" collapsed="false">
      <c r="A15" s="21" t="s">
        <v>81</v>
      </c>
      <c r="B15" s="55" t="s">
        <v>82</v>
      </c>
      <c r="C15" s="11" t="n">
        <f aca="false">INDEX(Sheet1!$B$4:$B$15,10)</f>
        <v>3750770213</v>
      </c>
      <c r="D15" s="13"/>
      <c r="E15" s="12" t="str">
        <f aca="false">IF(D15="","",D15-C15)</f>
        <v/>
      </c>
      <c r="F15" s="14" t="str">
        <f aca="false">IF(D15="","",IFERROR(D15/C15,0))</f>
        <v/>
      </c>
      <c r="G15" s="15" t="str">
        <f aca="false">IF(D15="","–",IF(F15&gt;=1,"✅",IF(F15&gt;=0.9,"⚠️","🚨")))</f>
        <v>–</v>
      </c>
      <c r="H15" s="56" t="str">
        <f aca="false">IF(OR(D15="",D14=""),"",IFERROR(D15/D14-1,""))</f>
        <v/>
      </c>
      <c r="I15" s="16"/>
    </row>
    <row r="16" customFormat="false" ht="19.5" hidden="false" customHeight="true" outlineLevel="0" collapsed="false">
      <c r="A16" s="24" t="s">
        <v>83</v>
      </c>
      <c r="B16" s="53" t="s">
        <v>82</v>
      </c>
      <c r="C16" s="25" t="n">
        <f aca="false">INDEX(Sheet1!$B$4:$B$15,11)</f>
        <v>3750770213</v>
      </c>
      <c r="D16" s="13"/>
      <c r="E16" s="26" t="str">
        <f aca="false">IF(D16="","",D16-C16)</f>
        <v/>
      </c>
      <c r="F16" s="27" t="str">
        <f aca="false">IF(D16="","",IFERROR(D16/C16,0))</f>
        <v/>
      </c>
      <c r="G16" s="54" t="str">
        <f aca="false">IF(D16="","–",IF(F16&gt;=1,"✅",IF(F16&gt;=0.9,"⚠️","🚨")))</f>
        <v>–</v>
      </c>
      <c r="H16" s="57" t="str">
        <f aca="false">IF(OR(D16="",D15=""),"",IFERROR(D16/D15-1,""))</f>
        <v/>
      </c>
      <c r="I16" s="41"/>
    </row>
    <row r="17" customFormat="false" ht="19.5" hidden="false" customHeight="true" outlineLevel="0" collapsed="false">
      <c r="A17" s="21" t="s">
        <v>84</v>
      </c>
      <c r="B17" s="55" t="s">
        <v>82</v>
      </c>
      <c r="C17" s="11" t="n">
        <f aca="false">INDEX(Sheet1!$B$4:$B$15,12)</f>
        <v>3750770213</v>
      </c>
      <c r="D17" s="13"/>
      <c r="E17" s="12" t="str">
        <f aca="false">IF(D17="","",D17-C17)</f>
        <v/>
      </c>
      <c r="F17" s="14" t="str">
        <f aca="false">IF(D17="","",IFERROR(D17/C17,0))</f>
        <v/>
      </c>
      <c r="G17" s="15" t="str">
        <f aca="false">IF(D17="","–",IF(F17&gt;=1,"✅",IF(F17&gt;=0.9,"⚠️","🚨")))</f>
        <v>–</v>
      </c>
      <c r="H17" s="56" t="str">
        <f aca="false">IF(OR(D17="",D16=""),"",IFERROR(D17/D16-1,""))</f>
        <v/>
      </c>
      <c r="I17" s="16"/>
    </row>
    <row r="18" customFormat="false" ht="6" hidden="false" customHeight="true" outlineLevel="0" collapsed="false"/>
    <row r="19" customFormat="false" ht="19.5" hidden="false" customHeight="true" outlineLevel="0" collapsed="false">
      <c r="A19" s="58" t="s">
        <v>69</v>
      </c>
      <c r="B19" s="59"/>
      <c r="C19" s="60" t="n">
        <f aca="false">SUM(C6:C8)</f>
        <v>6790877485</v>
      </c>
      <c r="D19" s="61" t="n">
        <f aca="false">SUM(D6:D8)</f>
        <v>0</v>
      </c>
      <c r="E19" s="62" t="str">
        <f aca="false">IF(D19=0,"",D19-C19)</f>
        <v/>
      </c>
      <c r="F19" s="63" t="str">
        <f aca="false">IF(D19=0,"",IFERROR(D19/C19,0))</f>
        <v/>
      </c>
      <c r="G19" s="64" t="str">
        <f aca="false">IF(D19=0,"–",IF(F19&gt;=1,"✅",IF(F19&gt;=0.9,"⚠️","🚨")))</f>
        <v>–</v>
      </c>
      <c r="H19" s="65"/>
      <c r="I19" s="66" t="s">
        <v>85</v>
      </c>
    </row>
    <row r="20" customFormat="false" ht="19.5" hidden="false" customHeight="true" outlineLevel="0" collapsed="false">
      <c r="A20" s="58" t="s">
        <v>74</v>
      </c>
      <c r="B20" s="59"/>
      <c r="C20" s="60" t="n">
        <f aca="false">SUM(C9:C11)</f>
        <v>11702433839</v>
      </c>
      <c r="D20" s="61" t="n">
        <f aca="false">SUM(D9:D11)</f>
        <v>0</v>
      </c>
      <c r="E20" s="62" t="str">
        <f aca="false">IF(D20=0,"",D20-C20)</f>
        <v/>
      </c>
      <c r="F20" s="63" t="str">
        <f aca="false">IF(D20=0,"",IFERROR(D20/C20,0))</f>
        <v/>
      </c>
      <c r="G20" s="64" t="str">
        <f aca="false">IF(D20=0,"–",IF(F20&gt;=1,"✅",IF(F20&gt;=0.9,"⚠️","🚨")))</f>
        <v>–</v>
      </c>
      <c r="H20" s="65"/>
      <c r="I20" s="66" t="s">
        <v>86</v>
      </c>
    </row>
    <row r="21" customFormat="false" ht="19.5" hidden="false" customHeight="true" outlineLevel="0" collapsed="false">
      <c r="A21" s="58" t="s">
        <v>78</v>
      </c>
      <c r="B21" s="59"/>
      <c r="C21" s="60" t="n">
        <f aca="false">SUM(C12:C14)</f>
        <v>10254378039</v>
      </c>
      <c r="D21" s="61" t="n">
        <f aca="false">SUM(D12:D14)</f>
        <v>0</v>
      </c>
      <c r="E21" s="62" t="str">
        <f aca="false">IF(D21=0,"",D21-C21)</f>
        <v/>
      </c>
      <c r="F21" s="63" t="str">
        <f aca="false">IF(D21=0,"",IFERROR(D21/C21,0))</f>
        <v/>
      </c>
      <c r="G21" s="64" t="str">
        <f aca="false">IF(D21=0,"–",IF(F21&gt;=1,"✅",IF(F21&gt;=0.9,"⚠️","🚨")))</f>
        <v>–</v>
      </c>
      <c r="H21" s="65"/>
      <c r="I21" s="66" t="s">
        <v>87</v>
      </c>
    </row>
    <row r="22" customFormat="false" ht="19.5" hidden="false" customHeight="true" outlineLevel="0" collapsed="false">
      <c r="A22" s="58" t="s">
        <v>82</v>
      </c>
      <c r="B22" s="59"/>
      <c r="C22" s="60" t="n">
        <f aca="false">SUM(C15:C17)</f>
        <v>11252310639</v>
      </c>
      <c r="D22" s="61" t="n">
        <f aca="false">SUM(D15:D17)</f>
        <v>0</v>
      </c>
      <c r="E22" s="62" t="str">
        <f aca="false">IF(D22=0,"",D22-C22)</f>
        <v/>
      </c>
      <c r="F22" s="63" t="str">
        <f aca="false">IF(D22=0,"",IFERROR(D22/C22,0))</f>
        <v/>
      </c>
      <c r="G22" s="64" t="str">
        <f aca="false">IF(D22=0,"–",IF(F22&gt;=1,"✅",IF(F22&gt;=0.9,"⚠️","🚨")))</f>
        <v>–</v>
      </c>
      <c r="H22" s="65"/>
      <c r="I22" s="66" t="s">
        <v>88</v>
      </c>
    </row>
    <row r="23" customFormat="false" ht="21.75" hidden="false" customHeight="true" outlineLevel="0" collapsed="false">
      <c r="A23" s="67" t="s">
        <v>89</v>
      </c>
      <c r="B23" s="68"/>
      <c r="C23" s="69" t="n">
        <f aca="false">SUM(C6:C17)</f>
        <v>40000000002</v>
      </c>
      <c r="D23" s="70" t="n">
        <f aca="false">SUM(D6:D17)</f>
        <v>0</v>
      </c>
      <c r="E23" s="70" t="str">
        <f aca="false">IF(D23=0,"",D23-C23)</f>
        <v/>
      </c>
      <c r="F23" s="71" t="str">
        <f aca="false">IF(D23=0,"",IFERROR(D23/C23,0))</f>
        <v/>
      </c>
      <c r="G23" s="72" t="str">
        <f aca="false">IF(D23=0,"–",IF(F23&gt;=1,"✅",IF(F23&gt;=0.9,"⚠️","🚨")))</f>
        <v>–</v>
      </c>
      <c r="H23" s="73"/>
      <c r="I23" s="74" t="s">
        <v>90</v>
      </c>
    </row>
    <row r="24" customFormat="false" ht="6" hidden="false" customHeight="true" outlineLevel="0" collapsed="false"/>
    <row r="25" customFormat="false" ht="19.5" hidden="false" customHeight="true" outlineLevel="0" collapsed="false">
      <c r="A25" s="17" t="s">
        <v>91</v>
      </c>
      <c r="B25" s="17"/>
      <c r="C25" s="17"/>
      <c r="D25" s="17"/>
      <c r="E25" s="17"/>
      <c r="F25" s="17"/>
      <c r="G25" s="17"/>
      <c r="H25" s="17"/>
      <c r="I25" s="17"/>
    </row>
    <row r="26" customFormat="false" ht="30" hidden="false" customHeight="true" outlineLevel="0" collapsed="false">
      <c r="A26" s="18" t="s">
        <v>6</v>
      </c>
      <c r="B26" s="18" t="s">
        <v>20</v>
      </c>
      <c r="C26" s="18" t="s">
        <v>7</v>
      </c>
      <c r="D26" s="18" t="s">
        <v>21</v>
      </c>
      <c r="E26" s="18" t="s">
        <v>92</v>
      </c>
      <c r="F26" s="18" t="s">
        <v>13</v>
      </c>
      <c r="G26" s="18" t="s">
        <v>14</v>
      </c>
      <c r="H26" s="18" t="s">
        <v>24</v>
      </c>
      <c r="I26" s="18" t="s">
        <v>26</v>
      </c>
    </row>
    <row r="27" customFormat="false" ht="18" hidden="false" customHeight="true" outlineLevel="0" collapsed="false">
      <c r="A27" s="19" t="s">
        <v>27</v>
      </c>
      <c r="B27" s="20" t="s">
        <v>28</v>
      </c>
      <c r="C27" s="21" t="s">
        <v>29</v>
      </c>
      <c r="D27" s="11" t="n">
        <f aca="false">INDEX(Sheet1!$D$4:$D$15,$B$2)</f>
        <v>2613543557.37667</v>
      </c>
      <c r="E27" s="13"/>
      <c r="F27" s="14" t="str">
        <f aca="false">IF(E27="","",IFERROR(E27/D27,0))</f>
        <v/>
      </c>
      <c r="G27" s="22" t="str">
        <f aca="false">IF(E27="","–",IF(F27&gt;=1,"✅",IF(F27&gt;=0.9,"⚠️","🚨")))</f>
        <v>–</v>
      </c>
      <c r="H27" s="12" t="str">
        <f aca="false">IF(E27="","",E27-D27)</f>
        <v/>
      </c>
      <c r="I27" s="23" t="str">
        <f aca="false">IF(OR(E28="",E29="",E30=""),"isi aktual dulu",IF(AND(F28&lt;=F29,F28&lt;=F30),"⬇ Traffic drag",IF(AND(F29&lt;=F28,F29&lt;=F30),"⬇ CVR drag","⬇ AOV drag")))</f>
        <v>isi aktual dulu</v>
      </c>
    </row>
    <row r="28" customFormat="false" ht="18" hidden="false" customHeight="true" outlineLevel="0" collapsed="false">
      <c r="A28" s="19"/>
      <c r="B28" s="19"/>
      <c r="C28" s="24" t="s">
        <v>30</v>
      </c>
      <c r="D28" s="25" t="n">
        <f aca="false">INDEX(Sheet1!$N$24:$N$35,$B$2)</f>
        <v>399000</v>
      </c>
      <c r="E28" s="13"/>
      <c r="F28" s="27" t="str">
        <f aca="false">IF(E28="","",IFERROR(E28/D28,0))</f>
        <v/>
      </c>
      <c r="G28" s="28" t="str">
        <f aca="false">IF(E28="","–",IF(F28&gt;=1,"✅",IF(F28&gt;=0.9,"⚠️","🚨")))</f>
        <v>–</v>
      </c>
      <c r="H28" s="26" t="str">
        <f aca="false">IF(E28="","",E28-D28)</f>
        <v/>
      </c>
      <c r="I28" s="24"/>
    </row>
    <row r="29" customFormat="false" ht="18" hidden="false" customHeight="true" outlineLevel="0" collapsed="false">
      <c r="A29" s="19"/>
      <c r="B29" s="19"/>
      <c r="C29" s="21" t="s">
        <v>31</v>
      </c>
      <c r="D29" s="75" t="s">
        <v>32</v>
      </c>
      <c r="E29" s="31"/>
      <c r="F29" s="14" t="str">
        <f aca="false">IF(E29="","",IFERROR(E29/D29,0))</f>
        <v/>
      </c>
      <c r="G29" s="22" t="str">
        <f aca="false">IF(E29="","–",IF(F29&gt;=1,"✅",IF(F29&gt;=0.9,"⚠️","🚨")))</f>
        <v>–</v>
      </c>
      <c r="H29" s="56" t="str">
        <f aca="false">IF(E29="","",E29-D29)</f>
        <v/>
      </c>
      <c r="I29" s="21"/>
    </row>
    <row r="30" customFormat="false" ht="18" hidden="false" customHeight="true" outlineLevel="0" collapsed="false">
      <c r="A30" s="19"/>
      <c r="B30" s="19"/>
      <c r="C30" s="24" t="s">
        <v>33</v>
      </c>
      <c r="D30" s="76" t="s">
        <v>34</v>
      </c>
      <c r="E30" s="34"/>
      <c r="F30" s="27" t="str">
        <f aca="false">IF(E30="","",IFERROR(E30/D30,0))</f>
        <v/>
      </c>
      <c r="G30" s="28" t="str">
        <f aca="false">IF(E30="","–",IF(F30&gt;=1,"✅",IF(F30&gt;=0.9,"⚠️","🚨")))</f>
        <v>–</v>
      </c>
      <c r="H30" s="57" t="str">
        <f aca="false">IF(E30="","",E30-D30)</f>
        <v/>
      </c>
      <c r="I30" s="24"/>
    </row>
    <row r="31" customFormat="false" ht="4.5" hidden="false" customHeight="true" outlineLevel="0" collapsed="false"/>
    <row r="32" customFormat="false" ht="18" hidden="false" customHeight="true" outlineLevel="0" collapsed="false">
      <c r="A32" s="19" t="s">
        <v>27</v>
      </c>
      <c r="B32" s="35" t="s">
        <v>35</v>
      </c>
      <c r="C32" s="21" t="s">
        <v>29</v>
      </c>
      <c r="D32" s="11" t="n">
        <f aca="false">INDEX(Sheet1!$F$4:$F$15,$B$2)</f>
        <v>1150739327.50167</v>
      </c>
      <c r="E32" s="13"/>
      <c r="F32" s="14" t="str">
        <f aca="false">IF(E32="","",IFERROR(E32/D32,0))</f>
        <v/>
      </c>
      <c r="G32" s="22" t="str">
        <f aca="false">IF(E32="","–",IF(F32&gt;=1,"✅",IF(F32&gt;=0.9,"⚠️","🚨")))</f>
        <v>–</v>
      </c>
      <c r="H32" s="12" t="str">
        <f aca="false">IF(E32="","",E32-D32)</f>
        <v/>
      </c>
      <c r="I32" s="23" t="str">
        <f aca="false">IF(OR(E33="",E34="",E35=""),"isi aktual dulu",IF(AND(F33&lt;=F34,F33&lt;=F35),"⬇ Traffic drag",IF(AND(F34&lt;=F33,F34&lt;=F35),"⬇ CVR drag","⬇ AOV drag")))</f>
        <v>isi aktual dulu</v>
      </c>
    </row>
    <row r="33" customFormat="false" ht="18" hidden="false" customHeight="true" outlineLevel="0" collapsed="false">
      <c r="A33" s="19"/>
      <c r="B33" s="19"/>
      <c r="C33" s="24" t="s">
        <v>30</v>
      </c>
      <c r="D33" s="25" t="n">
        <f aca="false">INDEX(Sheet1!$G$43:$G$54,$B$2)</f>
        <v>710000</v>
      </c>
      <c r="E33" s="13"/>
      <c r="F33" s="27" t="str">
        <f aca="false">IF(E33="","",IFERROR(E33/D33,0))</f>
        <v/>
      </c>
      <c r="G33" s="28" t="str">
        <f aca="false">IF(E33="","–",IF(F33&gt;=1,"✅",IF(F33&gt;=0.9,"⚠️","🚨")))</f>
        <v>–</v>
      </c>
      <c r="H33" s="26" t="str">
        <f aca="false">IF(E33="","",E33-D33)</f>
        <v/>
      </c>
      <c r="I33" s="24"/>
    </row>
    <row r="34" customFormat="false" ht="18" hidden="false" customHeight="true" outlineLevel="0" collapsed="false">
      <c r="A34" s="19"/>
      <c r="B34" s="19"/>
      <c r="C34" s="21" t="s">
        <v>31</v>
      </c>
      <c r="D34" s="75" t="s">
        <v>36</v>
      </c>
      <c r="E34" s="31"/>
      <c r="F34" s="14" t="str">
        <f aca="false">IF(E34="","",IFERROR(E34/D34,0))</f>
        <v/>
      </c>
      <c r="G34" s="22" t="str">
        <f aca="false">IF(E34="","–",IF(F34&gt;=1,"✅",IF(F34&gt;=0.9,"⚠️","🚨")))</f>
        <v>–</v>
      </c>
      <c r="H34" s="56" t="str">
        <f aca="false">IF(E34="","",E34-D34)</f>
        <v/>
      </c>
      <c r="I34" s="21"/>
    </row>
    <row r="35" customFormat="false" ht="18" hidden="false" customHeight="true" outlineLevel="0" collapsed="false">
      <c r="A35" s="19"/>
      <c r="B35" s="19"/>
      <c r="C35" s="24" t="s">
        <v>33</v>
      </c>
      <c r="D35" s="76" t="s">
        <v>37</v>
      </c>
      <c r="E35" s="34"/>
      <c r="F35" s="27" t="str">
        <f aca="false">IF(E35="","",IFERROR(E35/D35,0))</f>
        <v/>
      </c>
      <c r="G35" s="28" t="str">
        <f aca="false">IF(E35="","–",IF(F35&gt;=1,"✅",IF(F35&gt;=0.9,"⚠️","🚨")))</f>
        <v>–</v>
      </c>
      <c r="H35" s="57" t="str">
        <f aca="false">IF(E35="","",E35-D35)</f>
        <v/>
      </c>
      <c r="I35" s="24"/>
    </row>
    <row r="36" customFormat="false" ht="4.5" hidden="false" customHeight="true" outlineLevel="0" collapsed="false"/>
    <row r="37" customFormat="false" ht="18" hidden="false" customHeight="true" outlineLevel="0" collapsed="false">
      <c r="A37" s="19" t="s">
        <v>27</v>
      </c>
      <c r="B37" s="36" t="s">
        <v>38</v>
      </c>
      <c r="C37" s="21" t="s">
        <v>29</v>
      </c>
      <c r="D37" s="11" t="n">
        <f aca="false">INDEX(Sheet1!$C$4:$C$15,$B$2)</f>
        <v>39008112.7966667</v>
      </c>
      <c r="E37" s="13"/>
      <c r="F37" s="14" t="str">
        <f aca="false">IF(E37="","",IFERROR(E37/D37,0))</f>
        <v/>
      </c>
      <c r="G37" s="22" t="str">
        <f aca="false">IF(E37="","–",IF(F37&gt;=1,"✅",IF(F37&gt;=0.9,"⚠️","🚨")))</f>
        <v>–</v>
      </c>
      <c r="H37" s="12" t="str">
        <f aca="false">IF(E37="","",E37-D37)</f>
        <v/>
      </c>
      <c r="I37" s="23" t="str">
        <f aca="false">IF(OR(E38="",E39="",E40=""),"isi aktual dulu",IF(AND(F38&lt;=F39,F38&lt;=F40),"⬇ Traffic drag",IF(AND(F39&lt;=F38,F39&lt;=F40),"⬇ CVR drag","⬇ AOV drag")))</f>
        <v>isi aktual dulu</v>
      </c>
    </row>
    <row r="38" customFormat="false" ht="18" hidden="false" customHeight="true" outlineLevel="0" collapsed="false">
      <c r="A38" s="19"/>
      <c r="B38" s="19"/>
      <c r="C38" s="24" t="s">
        <v>30</v>
      </c>
      <c r="D38" s="25" t="n">
        <f aca="false">INDEX(Sheet1!$D$62:$D$73,$B$2)</f>
        <v>32000</v>
      </c>
      <c r="E38" s="13"/>
      <c r="F38" s="27" t="str">
        <f aca="false">IF(E38="","",IFERROR(E38/D38,0))</f>
        <v/>
      </c>
      <c r="G38" s="28" t="str">
        <f aca="false">IF(E38="","–",IF(F38&gt;=1,"✅",IF(F38&gt;=0.9,"⚠️","🚨")))</f>
        <v>–</v>
      </c>
      <c r="H38" s="26" t="str">
        <f aca="false">IF(E38="","",E38-D38)</f>
        <v/>
      </c>
      <c r="I38" s="24"/>
    </row>
    <row r="39" customFormat="false" ht="18" hidden="false" customHeight="true" outlineLevel="0" collapsed="false">
      <c r="A39" s="19"/>
      <c r="B39" s="19"/>
      <c r="C39" s="21" t="s">
        <v>31</v>
      </c>
      <c r="D39" s="75" t="s">
        <v>39</v>
      </c>
      <c r="E39" s="31"/>
      <c r="F39" s="14" t="str">
        <f aca="false">IF(E39="","",IFERROR(E39/D39,0))</f>
        <v/>
      </c>
      <c r="G39" s="22" t="str">
        <f aca="false">IF(E39="","–",IF(F39&gt;=1,"✅",IF(F39&gt;=0.9,"⚠️","🚨")))</f>
        <v>–</v>
      </c>
      <c r="H39" s="56" t="str">
        <f aca="false">IF(E39="","",E39-D39)</f>
        <v/>
      </c>
      <c r="I39" s="21"/>
    </row>
    <row r="40" customFormat="false" ht="18" hidden="false" customHeight="true" outlineLevel="0" collapsed="false">
      <c r="A40" s="19"/>
      <c r="B40" s="19"/>
      <c r="C40" s="24" t="s">
        <v>33</v>
      </c>
      <c r="D40" s="76" t="s">
        <v>40</v>
      </c>
      <c r="E40" s="34"/>
      <c r="F40" s="27" t="str">
        <f aca="false">IF(E40="","",IFERROR(E40/D40,0))</f>
        <v/>
      </c>
      <c r="G40" s="28" t="str">
        <f aca="false">IF(E40="","–",IF(F40&gt;=1,"✅",IF(F40&gt;=0.9,"⚠️","🚨")))</f>
        <v>–</v>
      </c>
      <c r="H40" s="57" t="str">
        <f aca="false">IF(E40="","",E40-D40)</f>
        <v/>
      </c>
      <c r="I40" s="24"/>
    </row>
    <row r="41" customFormat="false" ht="4.5" hidden="false" customHeight="true" outlineLevel="0" collapsed="false"/>
    <row r="42" customFormat="false" ht="19.5" hidden="false" customHeight="true" outlineLevel="0" collapsed="false">
      <c r="A42" s="37" t="s">
        <v>93</v>
      </c>
      <c r="B42" s="37"/>
      <c r="C42" s="37"/>
      <c r="D42" s="37"/>
      <c r="E42" s="37"/>
      <c r="F42" s="37"/>
      <c r="G42" s="37"/>
      <c r="H42" s="37"/>
      <c r="I42" s="37"/>
    </row>
    <row r="43" customFormat="false" ht="30" hidden="false" customHeight="true" outlineLevel="0" collapsed="false">
      <c r="A43" s="38" t="s">
        <v>6</v>
      </c>
      <c r="B43" s="38" t="s">
        <v>20</v>
      </c>
      <c r="C43" s="38" t="s">
        <v>94</v>
      </c>
      <c r="D43" s="38" t="s">
        <v>43</v>
      </c>
      <c r="E43" s="38" t="s">
        <v>95</v>
      </c>
      <c r="F43" s="38" t="s">
        <v>13</v>
      </c>
      <c r="G43" s="38" t="s">
        <v>14</v>
      </c>
      <c r="H43" s="38" t="s">
        <v>12</v>
      </c>
      <c r="I43" s="38" t="s">
        <v>15</v>
      </c>
    </row>
    <row r="44" customFormat="false" ht="18" hidden="false" customHeight="true" outlineLevel="0" collapsed="false">
      <c r="A44" s="39" t="s">
        <v>46</v>
      </c>
      <c r="B44" s="40" t="s">
        <v>28</v>
      </c>
      <c r="C44" s="24" t="s">
        <v>47</v>
      </c>
      <c r="D44" s="25" t="n">
        <f aca="false">INDEX(Sheet1!$C$24:$C$35,$B$2)</f>
        <v>653385889.344167</v>
      </c>
      <c r="E44" s="13"/>
      <c r="F44" s="27" t="str">
        <f aca="false">IF(E44="","",IFERROR(E44/D44,0))</f>
        <v/>
      </c>
      <c r="G44" s="28" t="str">
        <f aca="false">IF(E44="","–",IF(F44&gt;=1,"✅",IF(F44&gt;=0.9,"⚠️","🚨")))</f>
        <v>–</v>
      </c>
      <c r="H44" s="26" t="str">
        <f aca="false">IF(E44="","",E44-D44)</f>
        <v/>
      </c>
      <c r="I44" s="41"/>
    </row>
    <row r="45" customFormat="false" ht="18" hidden="false" customHeight="true" outlineLevel="0" collapsed="false">
      <c r="A45" s="39" t="s">
        <v>46</v>
      </c>
      <c r="B45" s="40" t="s">
        <v>28</v>
      </c>
      <c r="C45" s="21" t="s">
        <v>48</v>
      </c>
      <c r="D45" s="11" t="n">
        <f aca="false">INDEX(Sheet1!$D$24:$D$35,$B$2)</f>
        <v>392031533.6065</v>
      </c>
      <c r="E45" s="13"/>
      <c r="F45" s="14" t="str">
        <f aca="false">IF(E45="","",IFERROR(E45/D45,0))</f>
        <v/>
      </c>
      <c r="G45" s="22" t="str">
        <f aca="false">IF(E45="","–",IF(F45&gt;=1,"✅",IF(F45&gt;=0.9,"⚠️","🚨")))</f>
        <v>–</v>
      </c>
      <c r="H45" s="12" t="str">
        <f aca="false">IF(E45="","",E45-D45)</f>
        <v/>
      </c>
      <c r="I45" s="16"/>
    </row>
    <row r="46" customFormat="false" ht="18" hidden="false" customHeight="true" outlineLevel="0" collapsed="false">
      <c r="A46" s="39" t="s">
        <v>46</v>
      </c>
      <c r="B46" s="40" t="s">
        <v>28</v>
      </c>
      <c r="C46" s="24" t="s">
        <v>49</v>
      </c>
      <c r="D46" s="25" t="n">
        <f aca="false">INDEX(Sheet1!$E$24:$E$35,$B$2)</f>
        <v>13067717.7868833</v>
      </c>
      <c r="E46" s="13"/>
      <c r="F46" s="27" t="str">
        <f aca="false">IF(E46="","",IFERROR(E46/D46,0))</f>
        <v/>
      </c>
      <c r="G46" s="28" t="str">
        <f aca="false">IF(E46="","–",IF(F46&gt;=1,"✅",IF(F46&gt;=0.9,"⚠️","🚨")))</f>
        <v>–</v>
      </c>
      <c r="H46" s="26" t="str">
        <f aca="false">IF(E46="","",E46-D46)</f>
        <v/>
      </c>
      <c r="I46" s="41"/>
    </row>
    <row r="47" customFormat="false" ht="3.75" hidden="false" customHeight="true" outlineLevel="0" collapsed="false"/>
    <row r="48" customFormat="false" ht="18" hidden="false" customHeight="true" outlineLevel="0" collapsed="false">
      <c r="A48" s="39" t="s">
        <v>46</v>
      </c>
      <c r="B48" s="42" t="s">
        <v>35</v>
      </c>
      <c r="C48" s="24" t="s">
        <v>50</v>
      </c>
      <c r="D48" s="25" t="n">
        <f aca="false">INDEX(Sheet1!$C$43:$C$54,$B$2)</f>
        <v>230147865.500333</v>
      </c>
      <c r="E48" s="13"/>
      <c r="F48" s="27" t="str">
        <f aca="false">IF(E48="","",IFERROR(E48/D48,0))</f>
        <v/>
      </c>
      <c r="G48" s="28" t="str">
        <f aca="false">IF(E48="","–",IF(F48&gt;=1,"✅",IF(F48&gt;=0.9,"⚠️","🚨")))</f>
        <v>–</v>
      </c>
      <c r="H48" s="26" t="str">
        <f aca="false">IF(E48="","",E48-D48)</f>
        <v/>
      </c>
      <c r="I48" s="41"/>
    </row>
    <row r="49" customFormat="false" ht="18" hidden="false" customHeight="true" outlineLevel="0" collapsed="false">
      <c r="A49" s="39" t="s">
        <v>46</v>
      </c>
      <c r="B49" s="42" t="s">
        <v>35</v>
      </c>
      <c r="C49" s="21" t="s">
        <v>51</v>
      </c>
      <c r="D49" s="11" t="n">
        <f aca="false">INDEX(Sheet1!$D$43:$D$54,$B$2)</f>
        <v>920591462.001333</v>
      </c>
      <c r="E49" s="13"/>
      <c r="F49" s="14" t="str">
        <f aca="false">IF(E49="","",IFERROR(E49/D49,0))</f>
        <v/>
      </c>
      <c r="G49" s="22" t="str">
        <f aca="false">IF(E49="","–",IF(F49&gt;=1,"✅",IF(F49&gt;=0.9,"⚠️","🚨")))</f>
        <v>–</v>
      </c>
      <c r="H49" s="12" t="str">
        <f aca="false">IF(E49="","",E49-D49)</f>
        <v/>
      </c>
      <c r="I49" s="16"/>
    </row>
    <row r="50" customFormat="false" ht="3.75" hidden="false" customHeight="true" outlineLevel="0" collapsed="false"/>
    <row r="51" customFormat="false" ht="18" hidden="false" customHeight="true" outlineLevel="0" collapsed="false">
      <c r="A51" s="39" t="s">
        <v>46</v>
      </c>
      <c r="B51" s="43" t="s">
        <v>38</v>
      </c>
      <c r="C51" s="24" t="s">
        <v>52</v>
      </c>
      <c r="D51" s="25" t="n">
        <f aca="false">INDEX(Sheet1!$B$62:$B$73,$B$2)</f>
        <v>39008112.7966667</v>
      </c>
      <c r="E51" s="13"/>
      <c r="F51" s="27" t="str">
        <f aca="false">IF(E51="","",IFERROR(E51/D51,0))</f>
        <v/>
      </c>
      <c r="G51" s="28" t="str">
        <f aca="false">IF(E51="","–",IF(F51&gt;=1,"✅",IF(F51&gt;=0.9,"⚠️","🚨")))</f>
        <v>–</v>
      </c>
      <c r="H51" s="26" t="str">
        <f aca="false">IF(E51="","",E51-D51)</f>
        <v/>
      </c>
      <c r="I51" s="41"/>
    </row>
    <row r="52" customFormat="false" ht="6" hidden="false" customHeight="true" outlineLevel="0" collapsed="false"/>
    <row r="53" customFormat="false" ht="19.5" hidden="false" customHeight="true" outlineLevel="0" collapsed="false">
      <c r="A53" s="44" t="s">
        <v>96</v>
      </c>
      <c r="B53" s="44"/>
      <c r="C53" s="44"/>
      <c r="D53" s="44"/>
      <c r="E53" s="44"/>
      <c r="F53" s="44"/>
      <c r="G53" s="44"/>
      <c r="H53" s="44"/>
      <c r="I53" s="44"/>
    </row>
    <row r="54" customFormat="false" ht="24" hidden="false" customHeight="true" outlineLevel="0" collapsed="false">
      <c r="A54" s="45" t="s">
        <v>54</v>
      </c>
      <c r="B54" s="45"/>
      <c r="C54" s="46" t="str">
        <f aca="false">IF(AND(E27="",E32="",E37=""),"– isi aktual layer 2 terlebih dahulu",IF(AND(F27&lt;=F32,F27&lt;=F37),"🚨 SHOPEE → "&amp;TEXT(F27,"0.0%")&amp;" attainment",IF(AND(F32&lt;=F27,F32&lt;=F37),"🚨 TIKTOKSHOP → "&amp;TEXT(F32,"0.0%")&amp;" attainment","🚨 LAZADA → "&amp;TEXT(F37,"0.0%")&amp;" attainment")))</f>
        <v>– isi aktual layer 2 terlebih dahulu</v>
      </c>
      <c r="D54" s="46"/>
      <c r="E54" s="46"/>
      <c r="F54" s="46"/>
      <c r="G54" s="46"/>
      <c r="H54" s="46"/>
      <c r="I54" s="46"/>
    </row>
    <row r="55" customFormat="false" ht="24" hidden="false" customHeight="true" outlineLevel="0" collapsed="false">
      <c r="A55" s="47" t="s">
        <v>55</v>
      </c>
      <c r="B55" s="47"/>
      <c r="C55" s="48" t="str">
        <f aca="false">IF(AND(E27="",E32="",E37=""),"– isi aktual layer 2 terlebih dahulu","Lihat kolom I (⚡ Diagnosis) pada baris GMV di Layer 2 di atas")</f>
        <v>– isi aktual layer 2 terlebih dahulu</v>
      </c>
      <c r="D55" s="48"/>
      <c r="E55" s="48"/>
      <c r="F55" s="48"/>
      <c r="G55" s="48"/>
      <c r="H55" s="48"/>
      <c r="I55" s="48"/>
    </row>
    <row r="56" customFormat="false" ht="24" hidden="false" customHeight="true" outlineLevel="0" collapsed="false">
      <c r="A56" s="49" t="s">
        <v>56</v>
      </c>
      <c r="B56" s="49"/>
      <c r="C56" s="50" t="str">
        <f aca="false">IF(AND(E44="",E45="",E46="",E48="",E49=""),"– isi aktual layer 3 terlebih dahulu",IF(AND(F44&lt;=F45,F44&lt;=F46,F44&lt;=F48,F44&lt;=F49),"🚨 Shopee Live → "&amp;TEXT(F44,"0.0%"),IF(AND(F45&lt;=F44,F45&lt;=F46,F45&lt;=F48,F45&lt;=F49),"🚨 Shopee Affiliate → "&amp;TEXT(F45,"0.0%"),IF(AND(F46&lt;=F44,F46&lt;=F45,F46&lt;=F48,F46&lt;=F49),"🚨 Shopee Video → "&amp;TEXT(F46,"0.0%"),IF(AND(F48&lt;=F44,F48&lt;=F45,F48&lt;=F46,F48&lt;=F49),"🚨 TT Livestream → "&amp;TEXT(F48,"0.0%"),"🚨 TT Affiliate → "&amp;TEXT(F49,"0.0%"))))))</f>
        <v>– isi aktual layer 3 terlebih dahulu</v>
      </c>
      <c r="D56" s="50"/>
      <c r="E56" s="50"/>
      <c r="F56" s="50"/>
      <c r="G56" s="50"/>
      <c r="H56" s="50"/>
      <c r="I56" s="50"/>
    </row>
    <row r="57" customFormat="false" ht="6" hidden="false" customHeight="true" outlineLevel="0" collapsed="false"/>
    <row r="58" customFormat="false" ht="15.75" hidden="false" customHeight="true" outlineLevel="0" collapsed="false">
      <c r="A58" s="51" t="s">
        <v>97</v>
      </c>
      <c r="B58" s="51"/>
      <c r="C58" s="51"/>
      <c r="D58" s="51"/>
      <c r="E58" s="51"/>
      <c r="F58" s="51"/>
      <c r="G58" s="51"/>
      <c r="H58" s="51"/>
      <c r="I58" s="51"/>
    </row>
  </sheetData>
  <mergeCells count="19">
    <mergeCell ref="A1:I1"/>
    <mergeCell ref="C2:I2"/>
    <mergeCell ref="A4:I4"/>
    <mergeCell ref="A25:I25"/>
    <mergeCell ref="A27:A30"/>
    <mergeCell ref="B27:B30"/>
    <mergeCell ref="A32:A35"/>
    <mergeCell ref="B32:B35"/>
    <mergeCell ref="A37:A40"/>
    <mergeCell ref="B37:B40"/>
    <mergeCell ref="A42:I42"/>
    <mergeCell ref="A53:I53"/>
    <mergeCell ref="A54:B54"/>
    <mergeCell ref="C54:I54"/>
    <mergeCell ref="A55:B55"/>
    <mergeCell ref="C55:I55"/>
    <mergeCell ref="A56:B56"/>
    <mergeCell ref="C56:I56"/>
    <mergeCell ref="A58:I58"/>
  </mergeCells>
  <conditionalFormatting sqref="F6:F23">
    <cfRule type="expression" priority="2" aboveAverage="0" equalAverage="0" bottom="0" percent="0" rank="0" text="" dxfId="0">
      <formula>AND(F6&lt;&gt;"",F6&gt;=1)</formula>
    </cfRule>
    <cfRule type="expression" priority="3" aboveAverage="0" equalAverage="0" bottom="0" percent="0" rank="0" text="" dxfId="1">
      <formula>AND(F6&lt;&gt;"",F6&gt;=0.9)</formula>
    </cfRule>
    <cfRule type="expression" priority="4" aboveAverage="0" equalAverage="0" bottom="0" percent="0" rank="0" text="" dxfId="2">
      <formula>AND(F6&lt;&gt;"",F6&lt;0.9)</formula>
    </cfRule>
  </conditionalFormatting>
  <conditionalFormatting sqref="F27:F41">
    <cfRule type="expression" priority="5" aboveAverage="0" equalAverage="0" bottom="0" percent="0" rank="0" text="" dxfId="0">
      <formula>AND(F27&lt;&gt;"",F27&gt;=1)</formula>
    </cfRule>
    <cfRule type="expression" priority="6" aboveAverage="0" equalAverage="0" bottom="0" percent="0" rank="0" text="" dxfId="1">
      <formula>AND(F27&lt;&gt;"",F27&gt;=0.9)</formula>
    </cfRule>
    <cfRule type="expression" priority="7" aboveAverage="0" equalAverage="0" bottom="0" percent="0" rank="0" text="" dxfId="2">
      <formula>AND(F27&lt;&gt;"",F27&lt;0.9)</formula>
    </cfRule>
  </conditionalFormatting>
  <conditionalFormatting sqref="F44:F51">
    <cfRule type="expression" priority="8" aboveAverage="0" equalAverage="0" bottom="0" percent="0" rank="0" text="" dxfId="0">
      <formula>AND(F44&lt;&gt;"",F44&gt;=1)</formula>
    </cfRule>
    <cfRule type="expression" priority="9" aboveAverage="0" equalAverage="0" bottom="0" percent="0" rank="0" text="" dxfId="1">
      <formula>AND(F44&lt;&gt;"",F44&gt;=0.9)</formula>
    </cfRule>
    <cfRule type="expression" priority="10" aboveAverage="0" equalAverage="0" bottom="0" percent="0" rank="0" text="" dxfId="2">
      <formula>AND(F44&lt;&gt;"",F44&lt;0.9)</formula>
    </cfRule>
  </conditionalFormatting>
  <conditionalFormatting sqref="E6:E23">
    <cfRule type="expression" priority="11" aboveAverage="0" equalAverage="0" bottom="0" percent="0" rank="0" text="" dxfId="2">
      <formula>AND(E6&lt;&gt;"",E6&lt;0)</formula>
    </cfRule>
    <cfRule type="expression" priority="12" aboveAverage="0" equalAverage="0" bottom="0" percent="0" rank="0" text="" dxfId="0">
      <formula>AND(E6&lt;&gt;"",E6&gt;=0)</formula>
    </cfRule>
  </conditionalFormatting>
  <conditionalFormatting sqref="E27:E41">
    <cfRule type="expression" priority="13" aboveAverage="0" equalAverage="0" bottom="0" percent="0" rank="0" text="" dxfId="2">
      <formula>AND(E27&lt;&gt;"",E27&lt;0)</formula>
    </cfRule>
    <cfRule type="expression" priority="14" aboveAverage="0" equalAverage="0" bottom="0" percent="0" rank="0" text="" dxfId="0">
      <formula>AND(E27&lt;&gt;"",E27&gt;=0)</formula>
    </cfRule>
  </conditionalFormatting>
  <conditionalFormatting sqref="E44:E51">
    <cfRule type="expression" priority="15" aboveAverage="0" equalAverage="0" bottom="0" percent="0" rank="0" text="" dxfId="2">
      <formula>AND(E44&lt;&gt;"",E44&lt;0)</formula>
    </cfRule>
    <cfRule type="expression" priority="16" aboveAverage="0" equalAverage="0" bottom="0" percent="0" rank="0" text="" dxfId="0">
      <formula>AND(E44&lt;&gt;"",E44&gt;=0)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8.16"/>
    <col collapsed="false" customWidth="true" hidden="false" outlineLevel="0" max="3" min="3" style="1" width="17.33"/>
    <col collapsed="false" customWidth="true" hidden="false" outlineLevel="0" max="4" min="4" style="1" width="19.83"/>
    <col collapsed="false" customWidth="true" hidden="false" outlineLevel="0" max="5" min="5" style="1" width="17.33"/>
    <col collapsed="false" customWidth="true" hidden="false" outlineLevel="0" max="6" min="6" style="1" width="18.33"/>
    <col collapsed="false" customWidth="true" hidden="false" outlineLevel="0" max="8" min="7" style="1" width="14.67"/>
    <col collapsed="false" customWidth="true" hidden="false" outlineLevel="0" max="9" min="9" style="1" width="17"/>
    <col collapsed="false" customWidth="true" hidden="false" outlineLevel="0" max="10" min="10" style="1" width="15.16"/>
    <col collapsed="false" customWidth="true" hidden="false" outlineLevel="0" max="11" min="11" style="1" width="19.5"/>
    <col collapsed="false" customWidth="true" hidden="false" outlineLevel="0" max="12" min="12" style="1" width="17.33"/>
    <col collapsed="false" customWidth="true" hidden="false" outlineLevel="0" max="13" min="13" style="1" width="16.33"/>
    <col collapsed="false" customWidth="true" hidden="false" outlineLevel="0" max="14" min="14" style="1" width="17.33"/>
    <col collapsed="false" customWidth="true" hidden="false" outlineLevel="0" max="15" min="15" style="1" width="14.67"/>
    <col collapsed="false" customWidth="true" hidden="false" outlineLevel="0" max="16" min="16" style="1" width="18.83"/>
    <col collapsed="false" customWidth="true" hidden="false" outlineLevel="0" max="17" min="17" style="1" width="16.33"/>
  </cols>
  <sheetData>
    <row r="1" customFormat="false" ht="15.75" hidden="false" customHeight="true" outlineLevel="0" collapsed="false">
      <c r="A1" s="77" t="s">
        <v>98</v>
      </c>
      <c r="B1" s="77"/>
      <c r="C1" s="77"/>
      <c r="D1" s="77"/>
      <c r="E1" s="77"/>
      <c r="F1" s="77"/>
      <c r="J1" s="78" t="s">
        <v>99</v>
      </c>
      <c r="K1" s="78" t="s">
        <v>100</v>
      </c>
    </row>
    <row r="2" customFormat="false" ht="15.75" hidden="false" customHeight="true" outlineLevel="0" collapsed="false">
      <c r="A2" s="79" t="s">
        <v>63</v>
      </c>
      <c r="B2" s="79" t="s">
        <v>100</v>
      </c>
      <c r="C2" s="79" t="s">
        <v>101</v>
      </c>
      <c r="D2" s="79" t="s">
        <v>102</v>
      </c>
      <c r="E2" s="79" t="s">
        <v>103</v>
      </c>
      <c r="F2" s="79" t="s">
        <v>104</v>
      </c>
      <c r="J2" s="80" t="s">
        <v>69</v>
      </c>
      <c r="K2" s="81" t="n">
        <f aca="false">SUM(B4:B6)</f>
        <v>6790877485</v>
      </c>
    </row>
    <row r="3" customFormat="false" ht="15.75" hidden="false" customHeight="true" outlineLevel="0" collapsed="false">
      <c r="A3" s="79"/>
      <c r="B3" s="79"/>
      <c r="C3" s="82" t="n">
        <v>0.01</v>
      </c>
      <c r="D3" s="82" t="n">
        <v>0.67</v>
      </c>
      <c r="E3" s="82" t="n">
        <v>0.035</v>
      </c>
      <c r="F3" s="82" t="n">
        <v>0.295</v>
      </c>
      <c r="G3" s="83" t="n">
        <f aca="false">SUM(C3:F3)</f>
        <v>1.01</v>
      </c>
      <c r="J3" s="80" t="s">
        <v>74</v>
      </c>
      <c r="K3" s="81" t="n">
        <f aca="false">SUM(B7:B9)</f>
        <v>11702433839</v>
      </c>
    </row>
    <row r="4" customFormat="false" ht="15.75" hidden="false" customHeight="true" outlineLevel="0" collapsed="false">
      <c r="A4" s="84" t="s">
        <v>68</v>
      </c>
      <c r="B4" s="85" t="n">
        <f aca="false">6790877485/3</f>
        <v>2263625828.33333</v>
      </c>
      <c r="C4" s="86" t="n">
        <f aca="false">B4*$C$3</f>
        <v>22636258.2833333</v>
      </c>
      <c r="D4" s="86" t="n">
        <f aca="false">B4*$D$3</f>
        <v>1516629304.98333</v>
      </c>
      <c r="E4" s="86" t="n">
        <f aca="false">B4*$E$3</f>
        <v>79226903.9916667</v>
      </c>
      <c r="F4" s="86" t="n">
        <f aca="false">B4*$F$3</f>
        <v>667769619.358333</v>
      </c>
      <c r="G4" s="87" t="n">
        <v>0.104991604743766</v>
      </c>
      <c r="H4" s="88" t="n">
        <f aca="false">SUM(G4:G6)</f>
        <v>0.357275665906023</v>
      </c>
      <c r="I4" s="88"/>
      <c r="J4" s="89" t="s">
        <v>78</v>
      </c>
      <c r="K4" s="81" t="n">
        <f aca="false">SUM(B10:B12)</f>
        <v>10254378039</v>
      </c>
      <c r="L4" s="88"/>
    </row>
    <row r="5" customFormat="false" ht="15.75" hidden="false" customHeight="true" outlineLevel="0" collapsed="false">
      <c r="A5" s="84" t="s">
        <v>71</v>
      </c>
      <c r="B5" s="85" t="n">
        <f aca="false">6790877485/3</f>
        <v>2263625828.33333</v>
      </c>
      <c r="C5" s="86" t="n">
        <f aca="false">B5*$C$3</f>
        <v>22636258.2833333</v>
      </c>
      <c r="D5" s="86" t="n">
        <f aca="false">B5*$D$3</f>
        <v>1516629304.98333</v>
      </c>
      <c r="E5" s="86" t="n">
        <f aca="false">B5*$E$3</f>
        <v>79226903.9916667</v>
      </c>
      <c r="F5" s="86" t="n">
        <f aca="false">B5*$F$3</f>
        <v>667769619.358333</v>
      </c>
      <c r="G5" s="87" t="n">
        <v>0.118659974868278</v>
      </c>
      <c r="J5" s="80" t="s">
        <v>82</v>
      </c>
      <c r="K5" s="81" t="n">
        <f aca="false">SUM(B13:B15)</f>
        <v>11252310639</v>
      </c>
    </row>
    <row r="6" customFormat="false" ht="15.75" hidden="false" customHeight="true" outlineLevel="0" collapsed="false">
      <c r="A6" s="84" t="s">
        <v>72</v>
      </c>
      <c r="B6" s="85" t="n">
        <f aca="false">6790877485/3</f>
        <v>2263625828.33333</v>
      </c>
      <c r="C6" s="86" t="n">
        <f aca="false">B6*$C$3</f>
        <v>22636258.2833333</v>
      </c>
      <c r="D6" s="86" t="n">
        <f aca="false">B6*$D$3</f>
        <v>1516629304.98333</v>
      </c>
      <c r="E6" s="86" t="n">
        <f aca="false">B6*$E$3</f>
        <v>79226903.9916667</v>
      </c>
      <c r="F6" s="86" t="n">
        <f aca="false">B6*$F$3</f>
        <v>667769619.358333</v>
      </c>
      <c r="G6" s="87" t="n">
        <v>0.133624086293979</v>
      </c>
      <c r="O6" s="90" t="n">
        <v>400000000</v>
      </c>
    </row>
    <row r="7" customFormat="false" ht="15.75" hidden="false" customHeight="true" outlineLevel="0" collapsed="false">
      <c r="A7" s="91" t="s">
        <v>73</v>
      </c>
      <c r="B7" s="92" t="n">
        <f aca="false">(10391393000/3)+437013613</f>
        <v>3900811279.66667</v>
      </c>
      <c r="C7" s="93" t="n">
        <f aca="false">B7*$C$3</f>
        <v>39008112.7966667</v>
      </c>
      <c r="D7" s="93" t="n">
        <f aca="false">B7*$D$3</f>
        <v>2613543557.37667</v>
      </c>
      <c r="E7" s="93" t="n">
        <f aca="false">B7*$E$3</f>
        <v>136528394.788333</v>
      </c>
      <c r="F7" s="93" t="n">
        <f aca="false">B7*$F$3</f>
        <v>1150739327.50167</v>
      </c>
      <c r="G7" s="88" t="n">
        <v>0.08</v>
      </c>
      <c r="H7" s="88" t="n">
        <f aca="false">SUM(G7:G9)</f>
        <v>0.257160001689162</v>
      </c>
      <c r="I7" s="88"/>
      <c r="J7" s="79" t="s">
        <v>99</v>
      </c>
      <c r="K7" s="79" t="s">
        <v>101</v>
      </c>
      <c r="L7" s="79" t="s">
        <v>102</v>
      </c>
      <c r="M7" s="79" t="s">
        <v>103</v>
      </c>
      <c r="N7" s="79" t="s">
        <v>104</v>
      </c>
      <c r="O7" s="79" t="s">
        <v>105</v>
      </c>
    </row>
    <row r="8" customFormat="false" ht="15.75" hidden="false" customHeight="true" outlineLevel="0" collapsed="false">
      <c r="A8" s="91" t="s">
        <v>75</v>
      </c>
      <c r="B8" s="92" t="n">
        <f aca="false">(10391393000/3)+437013613</f>
        <v>3900811279.66667</v>
      </c>
      <c r="C8" s="93" t="n">
        <f aca="false">B8*$C$3</f>
        <v>39008112.7966667</v>
      </c>
      <c r="D8" s="93" t="n">
        <f aca="false">B8*$D$3</f>
        <v>2613543557.37667</v>
      </c>
      <c r="E8" s="93" t="n">
        <f aca="false">B8*$E$3</f>
        <v>136528394.788333</v>
      </c>
      <c r="F8" s="93" t="n">
        <f aca="false">B8*$F$3</f>
        <v>1150739327.50167</v>
      </c>
      <c r="G8" s="88" t="n">
        <v>0.0871600016891623</v>
      </c>
      <c r="I8" s="88" t="n">
        <f aca="false">SUM(K8:N8)/$B$16</f>
        <v>0.171469656487677</v>
      </c>
      <c r="J8" s="80" t="s">
        <v>69</v>
      </c>
      <c r="K8" s="93" t="n">
        <f aca="false">SUM(C4:C6)</f>
        <v>67908774.85</v>
      </c>
      <c r="L8" s="93" t="n">
        <f aca="false">SUM(D4:D6)</f>
        <v>4549887914.95</v>
      </c>
      <c r="M8" s="93" t="n">
        <f aca="false">SUM(E4:E6)</f>
        <v>237680711.975</v>
      </c>
      <c r="N8" s="93" t="n">
        <f aca="false">SUM(F4:F6)</f>
        <v>2003308858.075</v>
      </c>
      <c r="O8" s="93" t="n">
        <f aca="false">$O$6*I8</f>
        <v>68587862.5950706</v>
      </c>
    </row>
    <row r="9" customFormat="false" ht="15.75" hidden="false" customHeight="true" outlineLevel="0" collapsed="false">
      <c r="A9" s="91" t="s">
        <v>76</v>
      </c>
      <c r="B9" s="92" t="n">
        <f aca="false">(10391393000/3)+437013613</f>
        <v>3900811279.66667</v>
      </c>
      <c r="C9" s="93" t="n">
        <f aca="false">B9*$C$3</f>
        <v>39008112.7966667</v>
      </c>
      <c r="D9" s="93" t="n">
        <f aca="false">B9*$D$3</f>
        <v>2613543557.37667</v>
      </c>
      <c r="E9" s="93" t="n">
        <f aca="false">B9*$E$3</f>
        <v>136528394.788333</v>
      </c>
      <c r="F9" s="93" t="n">
        <f aca="false">B9*$F$3</f>
        <v>1150739327.50167</v>
      </c>
      <c r="G9" s="88" t="n">
        <v>0.09</v>
      </c>
      <c r="I9" s="88" t="n">
        <f aca="false">SUM(K9:N9)/$B$16</f>
        <v>0.295486454419976</v>
      </c>
      <c r="J9" s="80" t="s">
        <v>74</v>
      </c>
      <c r="K9" s="93" t="n">
        <f aca="false">SUM(C7:C9)</f>
        <v>117024338.39</v>
      </c>
      <c r="L9" s="93" t="n">
        <f aca="false">SUM(D7:D9)</f>
        <v>7840630672.13</v>
      </c>
      <c r="M9" s="93" t="n">
        <f aca="false">SUM(E7:E9)</f>
        <v>409585184.365</v>
      </c>
      <c r="N9" s="93" t="n">
        <f aca="false">SUM(F7:F9)</f>
        <v>3452217982.505</v>
      </c>
      <c r="O9" s="93" t="n">
        <f aca="false">$O$6*I9</f>
        <v>118194581.76799</v>
      </c>
    </row>
    <row r="10" customFormat="false" ht="15.75" hidden="false" customHeight="true" outlineLevel="0" collapsed="false">
      <c r="A10" s="91" t="s">
        <v>106</v>
      </c>
      <c r="B10" s="92" t="n">
        <f aca="false">(8943337200/3)+437013613</f>
        <v>3418126013</v>
      </c>
      <c r="C10" s="93" t="n">
        <f aca="false">B10*$C$3</f>
        <v>34181260.13</v>
      </c>
      <c r="D10" s="93" t="n">
        <f aca="false">B10*$D$3</f>
        <v>2290144428.71</v>
      </c>
      <c r="E10" s="93" t="n">
        <f aca="false">B10*$E$3</f>
        <v>119634410.455</v>
      </c>
      <c r="F10" s="93" t="n">
        <f aca="false">B10*$F$3</f>
        <v>1008347173.835</v>
      </c>
      <c r="G10" s="87" t="n">
        <v>0.06</v>
      </c>
      <c r="H10" s="88" t="n">
        <f aca="false">SUM(G10:G12)</f>
        <v>0.18</v>
      </c>
      <c r="I10" s="88" t="n">
        <f aca="false">SUM(K10:N10)/$B$16</f>
        <v>0.258923045471804</v>
      </c>
      <c r="J10" s="89" t="s">
        <v>78</v>
      </c>
      <c r="K10" s="93" t="n">
        <f aca="false">SUM(C10:C12)</f>
        <v>102543780.39</v>
      </c>
      <c r="L10" s="93" t="n">
        <f aca="false">SUM(D10:D12)</f>
        <v>6870433286.13</v>
      </c>
      <c r="M10" s="93" t="n">
        <f aca="false">SUM(E10:E12)</f>
        <v>358903231.365</v>
      </c>
      <c r="N10" s="93" t="n">
        <f aca="false">SUM(F10:F12)</f>
        <v>3025041521.505</v>
      </c>
      <c r="O10" s="93" t="n">
        <f aca="false">$O$6*I10</f>
        <v>103569218.188722</v>
      </c>
    </row>
    <row r="11" customFormat="false" ht="15.75" hidden="false" customHeight="true" outlineLevel="0" collapsed="false">
      <c r="A11" s="91" t="s">
        <v>107</v>
      </c>
      <c r="B11" s="92" t="n">
        <f aca="false">(8943337200/3)+437013613</f>
        <v>3418126013</v>
      </c>
      <c r="C11" s="93" t="n">
        <f aca="false">B11*$C$3</f>
        <v>34181260.13</v>
      </c>
      <c r="D11" s="93" t="n">
        <f aca="false">B11*$D$3</f>
        <v>2290144428.71</v>
      </c>
      <c r="E11" s="93" t="n">
        <f aca="false">B11*$E$3</f>
        <v>119634410.455</v>
      </c>
      <c r="F11" s="93" t="n">
        <f aca="false">B11*$F$3</f>
        <v>1008347173.835</v>
      </c>
      <c r="G11" s="87" t="n">
        <v>0.06</v>
      </c>
      <c r="I11" s="88" t="n">
        <f aca="false">SUM(K11:N11)/$B$16</f>
        <v>0.284120843620544</v>
      </c>
      <c r="J11" s="80" t="s">
        <v>82</v>
      </c>
      <c r="K11" s="93" t="n">
        <f aca="false">SUM(C13:C15)</f>
        <v>112523106.39</v>
      </c>
      <c r="L11" s="93" t="n">
        <f aca="false">SUM(D13:D15)</f>
        <v>7539048128.13</v>
      </c>
      <c r="M11" s="93" t="n">
        <f aca="false">SUM(E13:E15)</f>
        <v>393830872.365</v>
      </c>
      <c r="N11" s="93" t="n">
        <f aca="false">SUM(F13:F15)</f>
        <v>3319431638.505</v>
      </c>
      <c r="O11" s="93" t="n">
        <f aca="false">$O$6*I11</f>
        <v>113648337.448218</v>
      </c>
    </row>
    <row r="12" customFormat="false" ht="15.75" hidden="false" customHeight="true" outlineLevel="0" collapsed="false">
      <c r="A12" s="91" t="s">
        <v>80</v>
      </c>
      <c r="B12" s="92" t="n">
        <f aca="false">(8943337200/3)+437013613</f>
        <v>3418126013</v>
      </c>
      <c r="C12" s="93" t="n">
        <f aca="false">B12*$C$3</f>
        <v>34181260.13</v>
      </c>
      <c r="D12" s="93" t="n">
        <f aca="false">B12*$D$3</f>
        <v>2290144428.71</v>
      </c>
      <c r="E12" s="93" t="n">
        <f aca="false">B12*$E$3</f>
        <v>119634410.455</v>
      </c>
      <c r="F12" s="93" t="n">
        <f aca="false">B12*$F$3</f>
        <v>1008347173.835</v>
      </c>
      <c r="G12" s="87" t="n">
        <v>0.06</v>
      </c>
      <c r="K12" s="90" t="n">
        <f aca="false">SUM(K8:K11)</f>
        <v>400000000.02</v>
      </c>
      <c r="L12" s="90" t="n">
        <f aca="false">SUM(L8:L11)</f>
        <v>26800000001.34</v>
      </c>
      <c r="M12" s="90" t="n">
        <f aca="false">SUM(M8:M11)</f>
        <v>1400000000.07</v>
      </c>
      <c r="N12" s="90" t="n">
        <f aca="false">SUM(N8:N11)</f>
        <v>11800000000.59</v>
      </c>
    </row>
    <row r="13" customFormat="false" ht="15.75" hidden="false" customHeight="true" outlineLevel="0" collapsed="false">
      <c r="A13" s="91" t="s">
        <v>108</v>
      </c>
      <c r="B13" s="92" t="n">
        <f aca="false">(9941269800/3)+437013613</f>
        <v>3750770213</v>
      </c>
      <c r="C13" s="93" t="n">
        <f aca="false">B13*$C$3</f>
        <v>37507702.13</v>
      </c>
      <c r="D13" s="93" t="n">
        <f aca="false">B13*$D$3</f>
        <v>2513016042.71</v>
      </c>
      <c r="E13" s="93" t="n">
        <f aca="false">B13*$E$3</f>
        <v>131276957.455</v>
      </c>
      <c r="F13" s="93" t="n">
        <f aca="false">B13*$F$3</f>
        <v>1106477212.835</v>
      </c>
      <c r="G13" s="88" t="n">
        <v>0.07</v>
      </c>
      <c r="H13" s="88" t="n">
        <f aca="false">SUM(G13:G15)</f>
        <v>0.21</v>
      </c>
      <c r="I13" s="88"/>
      <c r="J13" s="88"/>
      <c r="K13" s="88"/>
      <c r="L13" s="88"/>
    </row>
    <row r="14" customFormat="false" ht="15.75" hidden="false" customHeight="true" outlineLevel="0" collapsed="false">
      <c r="A14" s="91" t="s">
        <v>83</v>
      </c>
      <c r="B14" s="92" t="n">
        <f aca="false">(9941269800/3)+437013613</f>
        <v>3750770213</v>
      </c>
      <c r="C14" s="93" t="n">
        <f aca="false">B14*$C$3</f>
        <v>37507702.13</v>
      </c>
      <c r="D14" s="93" t="n">
        <f aca="false">B14*$D$3</f>
        <v>2513016042.71</v>
      </c>
      <c r="E14" s="93" t="n">
        <f aca="false">B14*$E$3</f>
        <v>131276957.455</v>
      </c>
      <c r="F14" s="93" t="n">
        <f aca="false">B14*$F$3</f>
        <v>1106477212.835</v>
      </c>
      <c r="G14" s="88" t="n">
        <v>0.07</v>
      </c>
    </row>
    <row r="15" customFormat="false" ht="15.75" hidden="false" customHeight="true" outlineLevel="0" collapsed="false">
      <c r="A15" s="91" t="s">
        <v>109</v>
      </c>
      <c r="B15" s="92" t="n">
        <f aca="false">(9941269800/3)+437013613</f>
        <v>3750770213</v>
      </c>
      <c r="C15" s="93" t="n">
        <f aca="false">B15*$C$3</f>
        <v>37507702.13</v>
      </c>
      <c r="D15" s="93" t="n">
        <f aca="false">B15*$D$3</f>
        <v>2513016042.71</v>
      </c>
      <c r="E15" s="93" t="n">
        <f aca="false">B15*$E$3</f>
        <v>131276957.455</v>
      </c>
      <c r="F15" s="93" t="n">
        <f aca="false">B15*$F$3</f>
        <v>1106477212.835</v>
      </c>
      <c r="G15" s="88" t="n">
        <v>0.07</v>
      </c>
    </row>
    <row r="16" customFormat="false" ht="15.75" hidden="false" customHeight="true" outlineLevel="0" collapsed="false">
      <c r="A16" s="94" t="s">
        <v>110</v>
      </c>
      <c r="B16" s="95" t="n">
        <f aca="false">SUM(B4:B15)</f>
        <v>40000000002</v>
      </c>
      <c r="C16" s="95" t="n">
        <f aca="false">SUM(C4:C15)</f>
        <v>400000000.02</v>
      </c>
      <c r="D16" s="95" t="n">
        <f aca="false">SUM(D4:D15)</f>
        <v>26800000001.34</v>
      </c>
      <c r="E16" s="95" t="n">
        <f aca="false">SUM(E4:E15)</f>
        <v>1400000000.07</v>
      </c>
      <c r="F16" s="95" t="n">
        <f aca="false">SUM(F4:F15)</f>
        <v>11800000000.59</v>
      </c>
      <c r="G16" s="87" t="n">
        <f aca="false">SUM(G4:G15)</f>
        <v>1.00443566759519</v>
      </c>
      <c r="K16" s="92"/>
      <c r="L16" s="92"/>
      <c r="M16" s="92"/>
      <c r="N16" s="92"/>
      <c r="O16" s="92"/>
      <c r="P16" s="92"/>
      <c r="Q16" s="92"/>
      <c r="R16" s="92"/>
      <c r="S16" s="92"/>
    </row>
    <row r="17" customFormat="false" ht="15.75" hidden="false" customHeight="true" outlineLevel="0" collapsed="false">
      <c r="A17" s="91" t="s">
        <v>111</v>
      </c>
      <c r="B17" s="96" t="n">
        <v>365</v>
      </c>
      <c r="C17" s="93" t="n">
        <f aca="false">C16/$B$17</f>
        <v>1095890.4110137</v>
      </c>
      <c r="D17" s="93" t="n">
        <f aca="false">D16/$B$17</f>
        <v>73424657.5379178</v>
      </c>
      <c r="E17" s="93" t="n">
        <f aca="false">E16/$B$17</f>
        <v>3835616.43854795</v>
      </c>
      <c r="F17" s="93" t="n">
        <f aca="false">F16/$B$17</f>
        <v>32328767.1249041</v>
      </c>
    </row>
    <row r="18" customFormat="false" ht="15.75" hidden="false" customHeight="true" outlineLevel="0" collapsed="false">
      <c r="A18" s="91" t="s">
        <v>112</v>
      </c>
      <c r="B18" s="96" t="n">
        <v>52</v>
      </c>
      <c r="C18" s="93" t="n">
        <f aca="false">$B$18*C16</f>
        <v>20800000001.04</v>
      </c>
      <c r="D18" s="93" t="n">
        <f aca="false">$B$18*D16</f>
        <v>1393600000069.68</v>
      </c>
      <c r="E18" s="93" t="n">
        <f aca="false">$B$18*E16</f>
        <v>72800000003.64</v>
      </c>
      <c r="F18" s="93" t="n">
        <f aca="false">$B$18*F16</f>
        <v>613600000030.68</v>
      </c>
    </row>
    <row r="19" customFormat="false" ht="15.75" hidden="false" customHeight="true" outlineLevel="0" collapsed="false">
      <c r="A19" s="97"/>
      <c r="B19" s="98"/>
      <c r="C19" s="90"/>
      <c r="D19" s="90"/>
      <c r="E19" s="90"/>
      <c r="F19" s="90"/>
    </row>
    <row r="21" customFormat="false" ht="15.75" hidden="false" customHeight="true" outlineLevel="0" collapsed="false">
      <c r="A21" s="99" t="s">
        <v>28</v>
      </c>
      <c r="B21" s="99"/>
      <c r="C21" s="99"/>
      <c r="D21" s="99"/>
      <c r="E21" s="99"/>
      <c r="F21" s="99"/>
      <c r="G21" s="99"/>
      <c r="H21" s="99"/>
      <c r="I21" s="99"/>
      <c r="J21" s="100"/>
      <c r="K21" s="100"/>
      <c r="L21" s="100"/>
    </row>
    <row r="22" customFormat="false" ht="15.75" hidden="false" customHeight="true" outlineLevel="0" collapsed="false">
      <c r="A22" s="101" t="s">
        <v>63</v>
      </c>
      <c r="B22" s="101" t="s">
        <v>100</v>
      </c>
      <c r="C22" s="79" t="s">
        <v>113</v>
      </c>
      <c r="D22" s="79" t="s">
        <v>114</v>
      </c>
      <c r="E22" s="102" t="s">
        <v>115</v>
      </c>
      <c r="F22" s="102" t="s">
        <v>116</v>
      </c>
      <c r="G22" s="102" t="s">
        <v>117</v>
      </c>
      <c r="H22" s="102" t="s">
        <v>116</v>
      </c>
      <c r="I22" s="102" t="s">
        <v>118</v>
      </c>
      <c r="J22" s="102" t="s">
        <v>119</v>
      </c>
      <c r="K22" s="102" t="s">
        <v>120</v>
      </c>
      <c r="L22" s="102" t="s">
        <v>121</v>
      </c>
      <c r="M22" s="102" t="s">
        <v>122</v>
      </c>
      <c r="N22" s="102" t="s">
        <v>123</v>
      </c>
      <c r="O22" s="102" t="s">
        <v>124</v>
      </c>
    </row>
    <row r="23" customFormat="false" ht="15.75" hidden="false" customHeight="true" outlineLevel="0" collapsed="false">
      <c r="A23" s="101"/>
      <c r="B23" s="101"/>
      <c r="C23" s="103" t="n">
        <v>0.25</v>
      </c>
      <c r="D23" s="103" t="n">
        <v>0.15</v>
      </c>
      <c r="E23" s="104" t="n">
        <v>0.005</v>
      </c>
      <c r="F23" s="104" t="n">
        <v>0.03</v>
      </c>
      <c r="G23" s="104" t="n">
        <v>2.005</v>
      </c>
      <c r="H23" s="104" t="n">
        <v>0.02</v>
      </c>
      <c r="I23" s="104" t="n">
        <v>0.03</v>
      </c>
      <c r="J23" s="105" t="n">
        <v>0.25</v>
      </c>
      <c r="K23" s="105" t="n">
        <v>0.15</v>
      </c>
      <c r="L23" s="104" t="n">
        <v>0.005</v>
      </c>
      <c r="M23" s="106"/>
      <c r="N23" s="106"/>
      <c r="O23" s="106"/>
    </row>
    <row r="24" customFormat="false" ht="15.75" hidden="false" customHeight="true" outlineLevel="0" collapsed="false">
      <c r="A24" s="106" t="str">
        <f aca="false">A4</f>
        <v>Januari</v>
      </c>
      <c r="B24" s="93" t="n">
        <f aca="false">D4</f>
        <v>1516629304.98333</v>
      </c>
      <c r="C24" s="93" t="n">
        <f aca="false">B24*$C$23</f>
        <v>379157326.245833</v>
      </c>
      <c r="D24" s="93" t="n">
        <f aca="false">B24*$D$23</f>
        <v>227494395.7475</v>
      </c>
      <c r="E24" s="93" t="n">
        <f aca="false">B24*$E$23</f>
        <v>7583146.52491667</v>
      </c>
      <c r="F24" s="93" t="n">
        <f aca="false">B24*$F$23</f>
        <v>45498879.1495</v>
      </c>
      <c r="G24" s="93" t="n">
        <f aca="false">D24*$E$23</f>
        <v>1137471.9787375</v>
      </c>
      <c r="H24" s="93" t="n">
        <f aca="false">B24*$H$23</f>
        <v>30332586.0996667</v>
      </c>
      <c r="I24" s="107" t="n">
        <f aca="false">B24*$I$23</f>
        <v>45498879.1495</v>
      </c>
      <c r="J24" s="107" t="n">
        <f aca="false">F24*$J$23</f>
        <v>11374719.787375</v>
      </c>
      <c r="K24" s="107" t="n">
        <f aca="false">F24*$K$23</f>
        <v>6824831.872425</v>
      </c>
      <c r="L24" s="107" t="n">
        <f aca="false">F24*$L$23</f>
        <v>227494.3957475</v>
      </c>
      <c r="M24" s="108" t="n">
        <v>0.072</v>
      </c>
      <c r="N24" s="109" t="n">
        <v>465500</v>
      </c>
      <c r="O24" s="93" t="n">
        <v>105000</v>
      </c>
      <c r="P24" s="110" t="n">
        <f aca="false">(N24*M24)*O24</f>
        <v>3519180000</v>
      </c>
      <c r="Q24" s="90" t="n">
        <f aca="false">B24</f>
        <v>1516629304.98333</v>
      </c>
    </row>
    <row r="25" customFormat="false" ht="15.75" hidden="false" customHeight="true" outlineLevel="0" collapsed="false">
      <c r="A25" s="106" t="str">
        <f aca="false">A5</f>
        <v>Februari</v>
      </c>
      <c r="B25" s="93" t="n">
        <f aca="false">D5</f>
        <v>1516629304.98333</v>
      </c>
      <c r="C25" s="93" t="n">
        <f aca="false">B25*$C$23</f>
        <v>379157326.245833</v>
      </c>
      <c r="D25" s="93" t="n">
        <f aca="false">B25*$D$23</f>
        <v>227494395.7475</v>
      </c>
      <c r="E25" s="93" t="n">
        <f aca="false">B25*$E$23</f>
        <v>7583146.52491667</v>
      </c>
      <c r="F25" s="93" t="n">
        <f aca="false">B25*$F$23</f>
        <v>45498879.1495</v>
      </c>
      <c r="G25" s="93" t="n">
        <f aca="false">D25*$E$23</f>
        <v>1137471.9787375</v>
      </c>
      <c r="H25" s="93" t="n">
        <f aca="false">B25*$H$23</f>
        <v>30332586.0996667</v>
      </c>
      <c r="I25" s="107" t="n">
        <f aca="false">B25*$I$23</f>
        <v>45498879.1495</v>
      </c>
      <c r="J25" s="107" t="n">
        <f aca="false">F25*$J$23</f>
        <v>11374719.787375</v>
      </c>
      <c r="K25" s="107" t="n">
        <f aca="false">F25*$K$23</f>
        <v>6824831.872425</v>
      </c>
      <c r="L25" s="107" t="n">
        <f aca="false">F25*$L$23</f>
        <v>227494.3957475</v>
      </c>
      <c r="M25" s="108" t="n">
        <v>0.072</v>
      </c>
      <c r="N25" s="109" t="n">
        <v>525800</v>
      </c>
      <c r="O25" s="93" t="n">
        <v>105000</v>
      </c>
      <c r="P25" s="110" t="n">
        <f aca="false">(N25*M25)*O25</f>
        <v>3975048000</v>
      </c>
      <c r="Q25" s="90" t="n">
        <f aca="false">B25</f>
        <v>1516629304.98333</v>
      </c>
    </row>
    <row r="26" customFormat="false" ht="15.75" hidden="false" customHeight="true" outlineLevel="0" collapsed="false">
      <c r="A26" s="106" t="str">
        <f aca="false">A6</f>
        <v>Maret</v>
      </c>
      <c r="B26" s="93" t="n">
        <f aca="false">D6</f>
        <v>1516629304.98333</v>
      </c>
      <c r="C26" s="93" t="n">
        <f aca="false">B26*$C$23</f>
        <v>379157326.245833</v>
      </c>
      <c r="D26" s="93" t="n">
        <f aca="false">B26*$D$23</f>
        <v>227494395.7475</v>
      </c>
      <c r="E26" s="93" t="n">
        <f aca="false">B26*$E$23</f>
        <v>7583146.52491667</v>
      </c>
      <c r="F26" s="93" t="n">
        <f aca="false">B26*$F$23</f>
        <v>45498879.1495</v>
      </c>
      <c r="G26" s="93" t="n">
        <f aca="false">D26*$E$23</f>
        <v>1137471.9787375</v>
      </c>
      <c r="H26" s="93" t="n">
        <f aca="false">B26*$H$23</f>
        <v>30332586.0996667</v>
      </c>
      <c r="I26" s="107" t="n">
        <f aca="false">B26*$I$23</f>
        <v>45498879.1495</v>
      </c>
      <c r="J26" s="107" t="n">
        <f aca="false">F26*$J$23</f>
        <v>11374719.787375</v>
      </c>
      <c r="K26" s="107" t="n">
        <f aca="false">F26*$K$23</f>
        <v>6824831.872425</v>
      </c>
      <c r="L26" s="107" t="n">
        <f aca="false">F26*$L$23</f>
        <v>227494.3957475</v>
      </c>
      <c r="M26" s="108" t="n">
        <v>0.072</v>
      </c>
      <c r="N26" s="109" t="n">
        <v>592300</v>
      </c>
      <c r="O26" s="93" t="n">
        <v>105000</v>
      </c>
      <c r="P26" s="110" t="n">
        <f aca="false">(N26*M26)*O26</f>
        <v>4477788000</v>
      </c>
      <c r="Q26" s="90" t="n">
        <f aca="false">B26</f>
        <v>1516629304.98333</v>
      </c>
    </row>
    <row r="27" customFormat="false" ht="15.75" hidden="false" customHeight="true" outlineLevel="0" collapsed="false">
      <c r="A27" s="106" t="str">
        <f aca="false">A7</f>
        <v>April</v>
      </c>
      <c r="B27" s="93" t="n">
        <f aca="false">D7</f>
        <v>2613543557.37667</v>
      </c>
      <c r="C27" s="93" t="n">
        <f aca="false">B27*$C$23</f>
        <v>653385889.344167</v>
      </c>
      <c r="D27" s="93" t="n">
        <f aca="false">B27*$D$23</f>
        <v>392031533.6065</v>
      </c>
      <c r="E27" s="93" t="n">
        <f aca="false">B27*$E$23</f>
        <v>13067717.7868833</v>
      </c>
      <c r="F27" s="93" t="n">
        <f aca="false">B27*$F$23</f>
        <v>78406306.7213</v>
      </c>
      <c r="G27" s="93" t="n">
        <f aca="false">D27*$E$23</f>
        <v>1960157.6680325</v>
      </c>
      <c r="H27" s="93" t="n">
        <f aca="false">B27*$H$23</f>
        <v>52270871.1475333</v>
      </c>
      <c r="I27" s="107" t="n">
        <f aca="false">B27*$I$23</f>
        <v>78406306.7213</v>
      </c>
      <c r="J27" s="107" t="n">
        <f aca="false">F27*$J$23</f>
        <v>19601576.680325</v>
      </c>
      <c r="K27" s="107" t="n">
        <f aca="false">F27*$K$23</f>
        <v>11760946.008195</v>
      </c>
      <c r="L27" s="107" t="n">
        <f aca="false">F27*$L$23</f>
        <v>392031.5336065</v>
      </c>
      <c r="M27" s="108" t="n">
        <v>0.072</v>
      </c>
      <c r="N27" s="109" t="n">
        <v>355000</v>
      </c>
      <c r="O27" s="93" t="n">
        <v>105000</v>
      </c>
      <c r="P27" s="110" t="n">
        <f aca="false">(N27*M27)*O27</f>
        <v>2683800000</v>
      </c>
      <c r="Q27" s="90" t="n">
        <f aca="false">B27</f>
        <v>2613543557.37667</v>
      </c>
    </row>
    <row r="28" customFormat="false" ht="15.75" hidden="false" customHeight="true" outlineLevel="0" collapsed="false">
      <c r="A28" s="106" t="str">
        <f aca="false">A8</f>
        <v>Mei</v>
      </c>
      <c r="B28" s="93" t="n">
        <f aca="false">D8</f>
        <v>2613543557.37667</v>
      </c>
      <c r="C28" s="93" t="n">
        <f aca="false">B28*$C$23</f>
        <v>653385889.344167</v>
      </c>
      <c r="D28" s="93" t="n">
        <f aca="false">B28*$D$23</f>
        <v>392031533.6065</v>
      </c>
      <c r="E28" s="93" t="n">
        <f aca="false">B28*$E$23</f>
        <v>13067717.7868833</v>
      </c>
      <c r="F28" s="93" t="n">
        <f aca="false">B28*$F$23</f>
        <v>78406306.7213</v>
      </c>
      <c r="G28" s="93" t="n">
        <f aca="false">D28*$E$23</f>
        <v>1960157.6680325</v>
      </c>
      <c r="H28" s="93" t="n">
        <f aca="false">B28*$H$23</f>
        <v>52270871.1475333</v>
      </c>
      <c r="I28" s="107" t="n">
        <f aca="false">B28*$I$23</f>
        <v>78406306.7213</v>
      </c>
      <c r="J28" s="107" t="n">
        <f aca="false">F28*$J$23</f>
        <v>19601576.680325</v>
      </c>
      <c r="K28" s="107" t="n">
        <f aca="false">F28*$K$23</f>
        <v>11760946.008195</v>
      </c>
      <c r="L28" s="107" t="n">
        <f aca="false">F28*$L$23</f>
        <v>392031.5336065</v>
      </c>
      <c r="M28" s="108" t="n">
        <v>0.072</v>
      </c>
      <c r="N28" s="109" t="n">
        <v>386500</v>
      </c>
      <c r="O28" s="93" t="n">
        <v>105000</v>
      </c>
      <c r="P28" s="110" t="n">
        <f aca="false">(N28*M28)*O28</f>
        <v>2921940000</v>
      </c>
      <c r="Q28" s="90" t="n">
        <f aca="false">B28</f>
        <v>2613543557.37667</v>
      </c>
    </row>
    <row r="29" customFormat="false" ht="15.75" hidden="false" customHeight="true" outlineLevel="0" collapsed="false">
      <c r="A29" s="106" t="str">
        <f aca="false">A9</f>
        <v>Juni</v>
      </c>
      <c r="B29" s="93" t="n">
        <f aca="false">D9</f>
        <v>2613543557.37667</v>
      </c>
      <c r="C29" s="93" t="n">
        <f aca="false">B29*$C$23</f>
        <v>653385889.344167</v>
      </c>
      <c r="D29" s="93" t="n">
        <f aca="false">B29*$D$23</f>
        <v>392031533.6065</v>
      </c>
      <c r="E29" s="93" t="n">
        <f aca="false">B29*$E$23</f>
        <v>13067717.7868833</v>
      </c>
      <c r="F29" s="93" t="n">
        <f aca="false">B29*$F$23</f>
        <v>78406306.7213</v>
      </c>
      <c r="G29" s="93" t="n">
        <f aca="false">D29*$E$23</f>
        <v>1960157.6680325</v>
      </c>
      <c r="H29" s="93" t="n">
        <f aca="false">B29*$H$23</f>
        <v>52270871.1475333</v>
      </c>
      <c r="I29" s="107" t="n">
        <f aca="false">B29*$I$23</f>
        <v>78406306.7213</v>
      </c>
      <c r="J29" s="107" t="n">
        <f aca="false">F29*$J$23</f>
        <v>19601576.680325</v>
      </c>
      <c r="K29" s="107" t="n">
        <f aca="false">F29*$K$23</f>
        <v>11760946.008195</v>
      </c>
      <c r="L29" s="107" t="n">
        <f aca="false">F29*$L$23</f>
        <v>392031.5336065</v>
      </c>
      <c r="M29" s="108" t="n">
        <v>0.072</v>
      </c>
      <c r="N29" s="109" t="n">
        <v>399000</v>
      </c>
      <c r="O29" s="93" t="n">
        <v>105000</v>
      </c>
      <c r="P29" s="110" t="n">
        <f aca="false">(N29*M29)*O29</f>
        <v>3016440000</v>
      </c>
      <c r="Q29" s="90" t="n">
        <f aca="false">B29</f>
        <v>2613543557.37667</v>
      </c>
    </row>
    <row r="30" customFormat="false" ht="15.75" hidden="false" customHeight="true" outlineLevel="0" collapsed="false">
      <c r="A30" s="106" t="str">
        <f aca="false">A10</f>
        <v>July</v>
      </c>
      <c r="B30" s="93" t="n">
        <f aca="false">D10</f>
        <v>2290144428.71</v>
      </c>
      <c r="C30" s="93" t="n">
        <f aca="false">B30*$C$23</f>
        <v>572536107.1775</v>
      </c>
      <c r="D30" s="93" t="n">
        <f aca="false">B30*$D$23</f>
        <v>343521664.3065</v>
      </c>
      <c r="E30" s="93" t="n">
        <f aca="false">B30*$E$23</f>
        <v>11450722.14355</v>
      </c>
      <c r="F30" s="93" t="n">
        <f aca="false">B30*$F$23</f>
        <v>68704332.8613</v>
      </c>
      <c r="G30" s="93" t="n">
        <f aca="false">D30*$E$23</f>
        <v>1717608.3215325</v>
      </c>
      <c r="H30" s="93" t="n">
        <f aca="false">B30*$H$23</f>
        <v>45802888.5742</v>
      </c>
      <c r="I30" s="107" t="n">
        <f aca="false">B30*$I$23</f>
        <v>68704332.8613</v>
      </c>
      <c r="J30" s="107" t="n">
        <f aca="false">F30*$J$23</f>
        <v>17176083.215325</v>
      </c>
      <c r="K30" s="107" t="n">
        <f aca="false">F30*$K$23</f>
        <v>10305649.929195</v>
      </c>
      <c r="L30" s="107" t="n">
        <f aca="false">F30*$L$23</f>
        <v>343521.6643065</v>
      </c>
      <c r="M30" s="108" t="n">
        <v>0.072</v>
      </c>
      <c r="N30" s="109" t="n">
        <v>266000</v>
      </c>
      <c r="O30" s="93" t="n">
        <v>105000</v>
      </c>
      <c r="P30" s="110" t="n">
        <f aca="false">(N30*M30)*O30</f>
        <v>2010960000</v>
      </c>
      <c r="Q30" s="90" t="n">
        <f aca="false">B30</f>
        <v>2290144428.71</v>
      </c>
    </row>
    <row r="31" customFormat="false" ht="15.75" hidden="false" customHeight="true" outlineLevel="0" collapsed="false">
      <c r="A31" s="106" t="str">
        <f aca="false">A11</f>
        <v>August</v>
      </c>
      <c r="B31" s="93" t="n">
        <f aca="false">D11</f>
        <v>2290144428.71</v>
      </c>
      <c r="C31" s="93" t="n">
        <f aca="false">B31*$C$23</f>
        <v>572536107.1775</v>
      </c>
      <c r="D31" s="93" t="n">
        <f aca="false">B31*$D$23</f>
        <v>343521664.3065</v>
      </c>
      <c r="E31" s="93" t="n">
        <f aca="false">B31*$E$23</f>
        <v>11450722.14355</v>
      </c>
      <c r="F31" s="93" t="n">
        <f aca="false">B31*$F$23</f>
        <v>68704332.8613</v>
      </c>
      <c r="G31" s="93" t="n">
        <f aca="false">D31*$E$23</f>
        <v>1717608.3215325</v>
      </c>
      <c r="H31" s="93" t="n">
        <f aca="false">B31*$H$23</f>
        <v>45802888.5742</v>
      </c>
      <c r="I31" s="107" t="n">
        <f aca="false">B31*$I$23</f>
        <v>68704332.8613</v>
      </c>
      <c r="J31" s="107" t="n">
        <f aca="false">F31*$J$23</f>
        <v>17176083.215325</v>
      </c>
      <c r="K31" s="107" t="n">
        <f aca="false">F31*$K$23</f>
        <v>10305649.929195</v>
      </c>
      <c r="L31" s="107" t="n">
        <f aca="false">F31*$L$23</f>
        <v>343521.6643065</v>
      </c>
      <c r="M31" s="108" t="n">
        <v>0.072</v>
      </c>
      <c r="N31" s="109" t="n">
        <v>266000</v>
      </c>
      <c r="O31" s="93" t="n">
        <v>105000</v>
      </c>
      <c r="P31" s="110" t="n">
        <f aca="false">(N31*M31)*O31</f>
        <v>2010960000</v>
      </c>
      <c r="Q31" s="90" t="n">
        <f aca="false">B31</f>
        <v>2290144428.71</v>
      </c>
    </row>
    <row r="32" customFormat="false" ht="15.75" hidden="false" customHeight="true" outlineLevel="0" collapsed="false">
      <c r="A32" s="106" t="str">
        <f aca="false">A12</f>
        <v>September</v>
      </c>
      <c r="B32" s="93" t="n">
        <f aca="false">D12</f>
        <v>2290144428.71</v>
      </c>
      <c r="C32" s="93" t="n">
        <f aca="false">B32*$C$23</f>
        <v>572536107.1775</v>
      </c>
      <c r="D32" s="93" t="n">
        <f aca="false">B32*$D$23</f>
        <v>343521664.3065</v>
      </c>
      <c r="E32" s="93" t="n">
        <f aca="false">B32*$E$23</f>
        <v>11450722.14355</v>
      </c>
      <c r="F32" s="93" t="n">
        <f aca="false">B32*$F$23</f>
        <v>68704332.8613</v>
      </c>
      <c r="G32" s="93" t="n">
        <f aca="false">D32*$E$23</f>
        <v>1717608.3215325</v>
      </c>
      <c r="H32" s="93" t="n">
        <f aca="false">B32*$H$23</f>
        <v>45802888.5742</v>
      </c>
      <c r="I32" s="107" t="n">
        <f aca="false">B32*$I$23</f>
        <v>68704332.8613</v>
      </c>
      <c r="J32" s="107" t="n">
        <f aca="false">F32*$J$23</f>
        <v>17176083.215325</v>
      </c>
      <c r="K32" s="107" t="n">
        <f aca="false">F32*$K$23</f>
        <v>10305649.929195</v>
      </c>
      <c r="L32" s="107" t="n">
        <f aca="false">F32*$L$23</f>
        <v>343521.6643065</v>
      </c>
      <c r="M32" s="108" t="n">
        <v>0.072</v>
      </c>
      <c r="N32" s="109" t="n">
        <v>266000</v>
      </c>
      <c r="O32" s="93" t="n">
        <v>105000</v>
      </c>
      <c r="P32" s="110" t="n">
        <f aca="false">(N32*M32)*O32</f>
        <v>2010960000</v>
      </c>
      <c r="Q32" s="90" t="n">
        <f aca="false">B32</f>
        <v>2290144428.71</v>
      </c>
    </row>
    <row r="33" customFormat="false" ht="15.75" hidden="false" customHeight="true" outlineLevel="0" collapsed="false">
      <c r="A33" s="106" t="str">
        <f aca="false">A13</f>
        <v>October</v>
      </c>
      <c r="B33" s="93" t="n">
        <f aca="false">D13</f>
        <v>2513016042.71</v>
      </c>
      <c r="C33" s="93" t="n">
        <f aca="false">B33*$C$23</f>
        <v>628254010.6775</v>
      </c>
      <c r="D33" s="93" t="n">
        <f aca="false">B33*$D$23</f>
        <v>376952406.4065</v>
      </c>
      <c r="E33" s="93" t="n">
        <f aca="false">B33*$E$23</f>
        <v>12565080.21355</v>
      </c>
      <c r="F33" s="93" t="n">
        <f aca="false">B33*$F$23</f>
        <v>75390481.2813</v>
      </c>
      <c r="G33" s="93" t="n">
        <f aca="false">D33*$E$23</f>
        <v>1884762.0320325</v>
      </c>
      <c r="H33" s="93" t="n">
        <f aca="false">B33*$H$23</f>
        <v>50260320.8542</v>
      </c>
      <c r="I33" s="107" t="n">
        <f aca="false">B33*$I$23</f>
        <v>75390481.2813</v>
      </c>
      <c r="J33" s="107" t="n">
        <f aca="false">F33*$J$23</f>
        <v>18847620.320325</v>
      </c>
      <c r="K33" s="107" t="n">
        <f aca="false">F33*$K$23</f>
        <v>11308572.192195</v>
      </c>
      <c r="L33" s="107" t="n">
        <f aca="false">F33*$L$23</f>
        <v>376952.4064065</v>
      </c>
      <c r="M33" s="108" t="n">
        <v>0.072</v>
      </c>
      <c r="N33" s="109" t="n">
        <v>310500</v>
      </c>
      <c r="O33" s="93" t="n">
        <v>105000</v>
      </c>
      <c r="P33" s="110" t="n">
        <f aca="false">(N33*M33)*O33</f>
        <v>2347380000</v>
      </c>
      <c r="Q33" s="90" t="n">
        <f aca="false">B33</f>
        <v>2513016042.71</v>
      </c>
    </row>
    <row r="34" customFormat="false" ht="15.75" hidden="false" customHeight="true" outlineLevel="0" collapsed="false">
      <c r="A34" s="106" t="str">
        <f aca="false">A14</f>
        <v>November</v>
      </c>
      <c r="B34" s="93" t="n">
        <f aca="false">D14</f>
        <v>2513016042.71</v>
      </c>
      <c r="C34" s="93" t="n">
        <f aca="false">B34*$C$23</f>
        <v>628254010.6775</v>
      </c>
      <c r="D34" s="93" t="n">
        <f aca="false">B34*$D$23</f>
        <v>376952406.4065</v>
      </c>
      <c r="E34" s="93" t="n">
        <f aca="false">B34*$E$23</f>
        <v>12565080.21355</v>
      </c>
      <c r="F34" s="93" t="n">
        <f aca="false">B34*$F$23</f>
        <v>75390481.2813</v>
      </c>
      <c r="G34" s="93" t="n">
        <f aca="false">D34*$E$23</f>
        <v>1884762.0320325</v>
      </c>
      <c r="H34" s="93" t="n">
        <f aca="false">B34*$H$23</f>
        <v>50260320.8542</v>
      </c>
      <c r="I34" s="107" t="n">
        <f aca="false">B34*$I$23</f>
        <v>75390481.2813</v>
      </c>
      <c r="J34" s="107" t="n">
        <f aca="false">F34*$J$23</f>
        <v>18847620.320325</v>
      </c>
      <c r="K34" s="107" t="n">
        <f aca="false">F34*$K$23</f>
        <v>11308572.192195</v>
      </c>
      <c r="L34" s="107" t="n">
        <f aca="false">F34*$L$23</f>
        <v>376952.4064065</v>
      </c>
      <c r="M34" s="108" t="n">
        <v>0.072</v>
      </c>
      <c r="N34" s="109" t="n">
        <v>310500</v>
      </c>
      <c r="O34" s="93" t="n">
        <v>105000</v>
      </c>
      <c r="P34" s="110" t="n">
        <f aca="false">(N34*M34)*O34</f>
        <v>2347380000</v>
      </c>
      <c r="Q34" s="90" t="n">
        <f aca="false">B34</f>
        <v>2513016042.71</v>
      </c>
    </row>
    <row r="35" customFormat="false" ht="15.75" hidden="false" customHeight="true" outlineLevel="0" collapsed="false">
      <c r="A35" s="106" t="str">
        <f aca="false">A15</f>
        <v>December</v>
      </c>
      <c r="B35" s="93" t="n">
        <f aca="false">D15</f>
        <v>2513016042.71</v>
      </c>
      <c r="C35" s="93" t="n">
        <f aca="false">B35*$C$23</f>
        <v>628254010.6775</v>
      </c>
      <c r="D35" s="93" t="n">
        <f aca="false">B35*$D$23</f>
        <v>376952406.4065</v>
      </c>
      <c r="E35" s="93" t="n">
        <f aca="false">B35*$E$23</f>
        <v>12565080.21355</v>
      </c>
      <c r="F35" s="93" t="n">
        <f aca="false">B35*$F$23</f>
        <v>75390481.2813</v>
      </c>
      <c r="G35" s="93" t="n">
        <f aca="false">D35*$E$23</f>
        <v>1884762.0320325</v>
      </c>
      <c r="H35" s="93" t="n">
        <f aca="false">B35*$H$23</f>
        <v>50260320.8542</v>
      </c>
      <c r="I35" s="107" t="n">
        <f aca="false">B35*$I$23</f>
        <v>75390481.2813</v>
      </c>
      <c r="J35" s="107" t="n">
        <f aca="false">F35*$J$23</f>
        <v>18847620.320325</v>
      </c>
      <c r="K35" s="107" t="n">
        <f aca="false">F35*$K$23</f>
        <v>11308572.192195</v>
      </c>
      <c r="L35" s="107" t="n">
        <f aca="false">F35*$L$23</f>
        <v>376952.4064065</v>
      </c>
      <c r="M35" s="108" t="n">
        <v>0.072</v>
      </c>
      <c r="N35" s="109" t="n">
        <v>310500</v>
      </c>
      <c r="O35" s="93" t="n">
        <v>105000</v>
      </c>
      <c r="P35" s="110" t="n">
        <f aca="false">(N35*M35)*O35</f>
        <v>2347380000</v>
      </c>
      <c r="Q35" s="90" t="n">
        <f aca="false">B35</f>
        <v>2513016042.71</v>
      </c>
    </row>
    <row r="36" customFormat="false" ht="15.75" hidden="false" customHeight="true" outlineLevel="0" collapsed="false">
      <c r="A36" s="111" t="e">
        <f aca="false">'[1]doa stretch &amp; konven'!i18</f>
        <v>#NAME?</v>
      </c>
      <c r="B36" s="112" t="n">
        <f aca="false">SUM(B24:B35)</f>
        <v>26800000001.34</v>
      </c>
      <c r="C36" s="112" t="n">
        <f aca="false">SUM(C24:C35)</f>
        <v>6700000000.335</v>
      </c>
      <c r="D36" s="112" t="n">
        <f aca="false">SUM(D24:D35)</f>
        <v>4020000000.201</v>
      </c>
      <c r="E36" s="112" t="n">
        <f aca="false">SUM(E24:E35)</f>
        <v>134000000.0067</v>
      </c>
      <c r="F36" s="112" t="n">
        <f aca="false">SUM(F24:F35)</f>
        <v>804000000.0402</v>
      </c>
      <c r="G36" s="112" t="n">
        <f aca="false">SUM(G24:G35)</f>
        <v>20100000.001005</v>
      </c>
      <c r="H36" s="112" t="n">
        <f aca="false">SUM(H24:H35)</f>
        <v>536000000.0268</v>
      </c>
      <c r="I36" s="112" t="n">
        <f aca="false">SUM(I24:I35)</f>
        <v>804000000.0402</v>
      </c>
      <c r="J36" s="112" t="n">
        <f aca="false">SUM(J24:J35)</f>
        <v>201000000.01005</v>
      </c>
      <c r="K36" s="112" t="n">
        <f aca="false">SUM(K24:K35)</f>
        <v>120600000.00603</v>
      </c>
      <c r="L36" s="112" t="n">
        <f aca="false">SUM(L24:L35)</f>
        <v>4020000.000201</v>
      </c>
      <c r="M36" s="113" t="n">
        <f aca="false">AVERAGE(M24:M35)</f>
        <v>0.072</v>
      </c>
      <c r="N36" s="114" t="n">
        <f aca="false">SUM(N24:N35)</f>
        <v>4453600</v>
      </c>
      <c r="O36" s="112" t="n">
        <f aca="false">AVERAGE(O24:O35)</f>
        <v>105000</v>
      </c>
    </row>
    <row r="37" customFormat="false" ht="15.75" hidden="false" customHeight="true" outlineLevel="0" collapsed="false">
      <c r="A37" s="115" t="s">
        <v>111</v>
      </c>
      <c r="B37" s="116" t="n">
        <v>365</v>
      </c>
      <c r="C37" s="117" t="n">
        <f aca="false">C36/$B$37</f>
        <v>18356164.3844795</v>
      </c>
      <c r="D37" s="117" t="n">
        <f aca="false">D36/$B$37</f>
        <v>11013698.6306877</v>
      </c>
      <c r="E37" s="117" t="n">
        <f aca="false">E36/$B$37</f>
        <v>367123.287689589</v>
      </c>
      <c r="F37" s="117" t="n">
        <f aca="false">F36/$B$37</f>
        <v>2202739.72613753</v>
      </c>
      <c r="G37" s="117" t="n">
        <f aca="false">G36/$B$37</f>
        <v>55068.4931534384</v>
      </c>
      <c r="H37" s="117" t="n">
        <f aca="false">H36/B37</f>
        <v>1468493.15075836</v>
      </c>
      <c r="I37" s="117" t="n">
        <f aca="false">I36/B37</f>
        <v>2202739.72613753</v>
      </c>
      <c r="J37" s="117"/>
      <c r="K37" s="117"/>
      <c r="L37" s="117"/>
      <c r="M37" s="106"/>
      <c r="N37" s="106"/>
      <c r="O37" s="106"/>
    </row>
    <row r="38" customFormat="false" ht="15.75" hidden="false" customHeight="true" outlineLevel="0" collapsed="false">
      <c r="A38" s="106"/>
      <c r="B38" s="93"/>
      <c r="C38" s="93"/>
      <c r="D38" s="93"/>
      <c r="E38" s="93"/>
      <c r="F38" s="93"/>
      <c r="G38" s="93"/>
      <c r="H38" s="93"/>
      <c r="I38" s="106"/>
      <c r="J38" s="106"/>
      <c r="K38" s="106"/>
      <c r="L38" s="106"/>
      <c r="M38" s="106"/>
      <c r="N38" s="106"/>
      <c r="O38" s="106"/>
    </row>
    <row r="40" customFormat="false" ht="15.75" hidden="false" customHeight="true" outlineLevel="0" collapsed="false">
      <c r="A40" s="99" t="s">
        <v>125</v>
      </c>
      <c r="B40" s="99"/>
      <c r="C40" s="99"/>
      <c r="D40" s="99"/>
      <c r="F40" s="118"/>
    </row>
    <row r="41" customFormat="false" ht="15.75" hidden="false" customHeight="true" outlineLevel="0" collapsed="false">
      <c r="A41" s="101" t="s">
        <v>63</v>
      </c>
      <c r="B41" s="101" t="s">
        <v>100</v>
      </c>
      <c r="C41" s="79" t="s">
        <v>126</v>
      </c>
      <c r="D41" s="79" t="s">
        <v>127</v>
      </c>
      <c r="E41" s="79" t="s">
        <v>128</v>
      </c>
      <c r="F41" s="102" t="s">
        <v>122</v>
      </c>
      <c r="G41" s="102" t="s">
        <v>129</v>
      </c>
      <c r="H41" s="102" t="s">
        <v>123</v>
      </c>
      <c r="I41" s="102" t="s">
        <v>123</v>
      </c>
      <c r="J41" s="102" t="s">
        <v>124</v>
      </c>
      <c r="K41" s="119"/>
      <c r="L41" s="119"/>
    </row>
    <row r="42" customFormat="false" ht="15.75" hidden="false" customHeight="true" outlineLevel="0" collapsed="false">
      <c r="A42" s="101"/>
      <c r="B42" s="101"/>
      <c r="C42" s="103" t="n">
        <v>0.2</v>
      </c>
      <c r="D42" s="103" t="n">
        <v>0.8</v>
      </c>
      <c r="E42" s="103" t="n">
        <v>0.07</v>
      </c>
      <c r="F42" s="106"/>
      <c r="G42" s="120"/>
      <c r="H42" s="106"/>
      <c r="I42" s="106"/>
      <c r="J42" s="106"/>
    </row>
    <row r="43" customFormat="false" ht="15.75" hidden="false" customHeight="true" outlineLevel="0" collapsed="false">
      <c r="A43" s="106" t="str">
        <f aca="false">A24</f>
        <v>Januari</v>
      </c>
      <c r="B43" s="93" t="n">
        <f aca="false">F4</f>
        <v>667769619.358333</v>
      </c>
      <c r="C43" s="93" t="n">
        <f aca="false">B43*$C$42</f>
        <v>133553923.871667</v>
      </c>
      <c r="D43" s="93" t="n">
        <f aca="false">B43*$D$42</f>
        <v>534215695.486667</v>
      </c>
      <c r="E43" s="93" t="n">
        <f aca="false">B43*$E$42</f>
        <v>46743873.3550833</v>
      </c>
      <c r="F43" s="121" t="n">
        <v>0.05</v>
      </c>
      <c r="G43" s="109" t="n">
        <v>822000</v>
      </c>
      <c r="H43" s="106"/>
      <c r="I43" s="106"/>
      <c r="J43" s="93" t="n">
        <v>37700</v>
      </c>
      <c r="K43" s="90"/>
      <c r="L43" s="90"/>
      <c r="M43" s="122"/>
      <c r="N43" s="90"/>
    </row>
    <row r="44" customFormat="false" ht="15.75" hidden="false" customHeight="true" outlineLevel="0" collapsed="false">
      <c r="A44" s="106" t="str">
        <f aca="false">A25</f>
        <v>Februari</v>
      </c>
      <c r="B44" s="93" t="n">
        <f aca="false">F5</f>
        <v>667769619.358333</v>
      </c>
      <c r="C44" s="93" t="n">
        <f aca="false">B44*$C$42</f>
        <v>133553923.871667</v>
      </c>
      <c r="D44" s="93" t="n">
        <f aca="false">B44*$D$42</f>
        <v>534215695.486667</v>
      </c>
      <c r="E44" s="93" t="n">
        <f aca="false">B44*$E$42</f>
        <v>46743873.3550833</v>
      </c>
      <c r="F44" s="121" t="n">
        <v>0.05</v>
      </c>
      <c r="G44" s="109" t="n">
        <v>929000</v>
      </c>
      <c r="H44" s="106"/>
      <c r="I44" s="106"/>
      <c r="J44" s="93" t="n">
        <v>37700</v>
      </c>
      <c r="K44" s="90"/>
      <c r="L44" s="90"/>
      <c r="M44" s="122"/>
      <c r="N44" s="90"/>
    </row>
    <row r="45" customFormat="false" ht="15.75" hidden="false" customHeight="true" outlineLevel="0" collapsed="false">
      <c r="A45" s="106" t="str">
        <f aca="false">A26</f>
        <v>Maret</v>
      </c>
      <c r="B45" s="93" t="n">
        <f aca="false">F6</f>
        <v>667769619.358333</v>
      </c>
      <c r="C45" s="93" t="n">
        <f aca="false">B45*$C$42</f>
        <v>133553923.871667</v>
      </c>
      <c r="D45" s="93" t="n">
        <f aca="false">B45*$D$42</f>
        <v>534215695.486667</v>
      </c>
      <c r="E45" s="93" t="n">
        <f aca="false">B45*$E$42</f>
        <v>46743873.3550833</v>
      </c>
      <c r="F45" s="121" t="n">
        <v>0.05</v>
      </c>
      <c r="G45" s="109" t="n">
        <v>1046000</v>
      </c>
      <c r="H45" s="106"/>
      <c r="I45" s="106"/>
      <c r="J45" s="93" t="n">
        <v>37700</v>
      </c>
      <c r="K45" s="90"/>
      <c r="L45" s="90"/>
      <c r="M45" s="122"/>
      <c r="N45" s="90"/>
    </row>
    <row r="46" customFormat="false" ht="15.75" hidden="false" customHeight="true" outlineLevel="0" collapsed="false">
      <c r="A46" s="106" t="str">
        <f aca="false">A27</f>
        <v>April</v>
      </c>
      <c r="B46" s="93" t="n">
        <f aca="false">F7</f>
        <v>1150739327.50167</v>
      </c>
      <c r="C46" s="93" t="n">
        <f aca="false">B46*$C$42</f>
        <v>230147865.500333</v>
      </c>
      <c r="D46" s="93" t="n">
        <f aca="false">B46*$D$42</f>
        <v>920591462.001333</v>
      </c>
      <c r="E46" s="93" t="n">
        <f aca="false">B46*$E$42</f>
        <v>80551752.9251167</v>
      </c>
      <c r="F46" s="121" t="n">
        <v>0.05</v>
      </c>
      <c r="G46" s="109" t="n">
        <v>626000</v>
      </c>
      <c r="H46" s="106"/>
      <c r="I46" s="106"/>
      <c r="J46" s="93" t="n">
        <v>37700</v>
      </c>
      <c r="K46" s="90"/>
      <c r="L46" s="90"/>
      <c r="M46" s="122"/>
      <c r="N46" s="90"/>
    </row>
    <row r="47" customFormat="false" ht="15.75" hidden="false" customHeight="true" outlineLevel="0" collapsed="false">
      <c r="A47" s="106" t="str">
        <f aca="false">A28</f>
        <v>Mei</v>
      </c>
      <c r="B47" s="93" t="n">
        <f aca="false">F8</f>
        <v>1150739327.50167</v>
      </c>
      <c r="C47" s="93" t="n">
        <f aca="false">B47*$C$42</f>
        <v>230147865.500333</v>
      </c>
      <c r="D47" s="93" t="n">
        <f aca="false">B47*$D$42</f>
        <v>920591462.001333</v>
      </c>
      <c r="E47" s="93" t="n">
        <f aca="false">B47*$E$42</f>
        <v>80551752.9251167</v>
      </c>
      <c r="F47" s="121" t="n">
        <v>0.05</v>
      </c>
      <c r="G47" s="109" t="n">
        <v>682500</v>
      </c>
      <c r="H47" s="106"/>
      <c r="I47" s="106"/>
      <c r="J47" s="93" t="n">
        <v>37700</v>
      </c>
      <c r="K47" s="90"/>
      <c r="L47" s="90"/>
      <c r="M47" s="122"/>
      <c r="N47" s="90"/>
    </row>
    <row r="48" customFormat="false" ht="15.75" hidden="false" customHeight="true" outlineLevel="0" collapsed="false">
      <c r="A48" s="106" t="str">
        <f aca="false">A29</f>
        <v>Juni</v>
      </c>
      <c r="B48" s="93" t="n">
        <f aca="false">F9</f>
        <v>1150739327.50167</v>
      </c>
      <c r="C48" s="93" t="n">
        <f aca="false">B48*$C$42</f>
        <v>230147865.500333</v>
      </c>
      <c r="D48" s="93" t="n">
        <f aca="false">B48*$D$42</f>
        <v>920591462.001333</v>
      </c>
      <c r="E48" s="93" t="n">
        <f aca="false">B48*$E$42</f>
        <v>80551752.9251167</v>
      </c>
      <c r="F48" s="121" t="n">
        <v>0.05</v>
      </c>
      <c r="G48" s="109" t="n">
        <v>710000</v>
      </c>
      <c r="H48" s="106"/>
      <c r="I48" s="106"/>
      <c r="J48" s="93" t="n">
        <v>37700</v>
      </c>
      <c r="K48" s="90"/>
      <c r="L48" s="90"/>
      <c r="M48" s="122"/>
      <c r="N48" s="90"/>
    </row>
    <row r="49" customFormat="false" ht="15.75" hidden="false" customHeight="true" outlineLevel="0" collapsed="false">
      <c r="A49" s="106" t="str">
        <f aca="false">A30</f>
        <v>July</v>
      </c>
      <c r="B49" s="93" t="n">
        <f aca="false">F10</f>
        <v>1008347173.835</v>
      </c>
      <c r="C49" s="93" t="n">
        <f aca="false">B49*$C$42</f>
        <v>201669434.767</v>
      </c>
      <c r="D49" s="93" t="n">
        <f aca="false">B49*$D$42</f>
        <v>806677739.068</v>
      </c>
      <c r="E49" s="93" t="n">
        <f aca="false">B49*$E$42</f>
        <v>70584302.16845</v>
      </c>
      <c r="F49" s="121" t="n">
        <v>0.05</v>
      </c>
      <c r="G49" s="109" t="n">
        <v>470000</v>
      </c>
      <c r="H49" s="106"/>
      <c r="I49" s="106"/>
      <c r="J49" s="93" t="n">
        <v>37700</v>
      </c>
      <c r="K49" s="90"/>
      <c r="L49" s="90"/>
      <c r="M49" s="122"/>
      <c r="N49" s="90"/>
    </row>
    <row r="50" customFormat="false" ht="15.75" hidden="false" customHeight="true" outlineLevel="0" collapsed="false">
      <c r="A50" s="106" t="str">
        <f aca="false">A31</f>
        <v>August</v>
      </c>
      <c r="B50" s="93" t="n">
        <f aca="false">F11</f>
        <v>1008347173.835</v>
      </c>
      <c r="C50" s="93" t="n">
        <f aca="false">B50*$C$42</f>
        <v>201669434.767</v>
      </c>
      <c r="D50" s="93" t="n">
        <f aca="false">B50*$D$42</f>
        <v>806677739.068</v>
      </c>
      <c r="E50" s="93" t="n">
        <f aca="false">B50*$E$42</f>
        <v>70584302.16845</v>
      </c>
      <c r="F50" s="121" t="n">
        <v>0.05</v>
      </c>
      <c r="G50" s="109" t="n">
        <v>470000</v>
      </c>
      <c r="H50" s="106"/>
      <c r="I50" s="106"/>
      <c r="J50" s="93" t="n">
        <v>37700</v>
      </c>
      <c r="K50" s="90"/>
      <c r="L50" s="90"/>
      <c r="M50" s="122"/>
      <c r="N50" s="90"/>
    </row>
    <row r="51" customFormat="false" ht="15.75" hidden="false" customHeight="true" outlineLevel="0" collapsed="false">
      <c r="A51" s="106" t="str">
        <f aca="false">A32</f>
        <v>September</v>
      </c>
      <c r="B51" s="93" t="n">
        <f aca="false">F12</f>
        <v>1008347173.835</v>
      </c>
      <c r="C51" s="93" t="n">
        <f aca="false">B51*$C$42</f>
        <v>201669434.767</v>
      </c>
      <c r="D51" s="93" t="n">
        <f aca="false">B51*$D$42</f>
        <v>806677739.068</v>
      </c>
      <c r="E51" s="93" t="n">
        <f aca="false">B51*$E$42</f>
        <v>70584302.16845</v>
      </c>
      <c r="F51" s="121" t="n">
        <v>0.05</v>
      </c>
      <c r="G51" s="109" t="n">
        <v>470000</v>
      </c>
      <c r="H51" s="106"/>
      <c r="I51" s="106"/>
      <c r="J51" s="93" t="n">
        <v>37700</v>
      </c>
      <c r="K51" s="90"/>
      <c r="L51" s="90"/>
      <c r="M51" s="122"/>
      <c r="N51" s="90"/>
    </row>
    <row r="52" customFormat="false" ht="15.75" hidden="false" customHeight="true" outlineLevel="0" collapsed="false">
      <c r="A52" s="106" t="str">
        <f aca="false">A33</f>
        <v>October</v>
      </c>
      <c r="B52" s="93" t="n">
        <f aca="false">F13</f>
        <v>1106477212.835</v>
      </c>
      <c r="C52" s="93" t="n">
        <f aca="false">B52*$C$42</f>
        <v>221295442.567</v>
      </c>
      <c r="D52" s="93" t="n">
        <f aca="false">B52*$D$42</f>
        <v>885181770.268</v>
      </c>
      <c r="E52" s="93" t="n">
        <f aca="false">B52*$E$42</f>
        <v>77453404.89845</v>
      </c>
      <c r="F52" s="121" t="n">
        <v>0.05</v>
      </c>
      <c r="G52" s="109" t="n">
        <v>550000</v>
      </c>
      <c r="H52" s="106"/>
      <c r="I52" s="106"/>
      <c r="J52" s="93" t="n">
        <v>37700</v>
      </c>
      <c r="K52" s="90"/>
      <c r="L52" s="90"/>
      <c r="M52" s="122"/>
      <c r="N52" s="90"/>
    </row>
    <row r="53" customFormat="false" ht="15.75" hidden="false" customHeight="true" outlineLevel="0" collapsed="false">
      <c r="A53" s="106" t="str">
        <f aca="false">A34</f>
        <v>November</v>
      </c>
      <c r="B53" s="93" t="n">
        <f aca="false">F14</f>
        <v>1106477212.835</v>
      </c>
      <c r="C53" s="93" t="n">
        <f aca="false">B53*$C$42</f>
        <v>221295442.567</v>
      </c>
      <c r="D53" s="93" t="n">
        <f aca="false">B53*$D$42</f>
        <v>885181770.268</v>
      </c>
      <c r="E53" s="93" t="n">
        <f aca="false">B53*$E$42</f>
        <v>77453404.89845</v>
      </c>
      <c r="F53" s="121" t="n">
        <v>0.05</v>
      </c>
      <c r="G53" s="109" t="n">
        <v>550000</v>
      </c>
      <c r="H53" s="106"/>
      <c r="I53" s="106"/>
      <c r="J53" s="93" t="n">
        <v>37700</v>
      </c>
      <c r="K53" s="90"/>
      <c r="L53" s="90"/>
      <c r="M53" s="122"/>
      <c r="N53" s="90"/>
    </row>
    <row r="54" customFormat="false" ht="15.75" hidden="false" customHeight="true" outlineLevel="0" collapsed="false">
      <c r="A54" s="106" t="str">
        <f aca="false">A35</f>
        <v>December</v>
      </c>
      <c r="B54" s="93" t="n">
        <f aca="false">F15</f>
        <v>1106477212.835</v>
      </c>
      <c r="C54" s="93" t="n">
        <f aca="false">B54*$C$42</f>
        <v>221295442.567</v>
      </c>
      <c r="D54" s="93" t="n">
        <f aca="false">B54*$D$42</f>
        <v>885181770.268</v>
      </c>
      <c r="E54" s="93" t="n">
        <f aca="false">B54*$E$42</f>
        <v>77453404.89845</v>
      </c>
      <c r="F54" s="121" t="n">
        <v>0.05</v>
      </c>
      <c r="G54" s="109" t="n">
        <v>550000</v>
      </c>
      <c r="H54" s="106"/>
      <c r="I54" s="106"/>
      <c r="J54" s="93" t="n">
        <v>37700</v>
      </c>
      <c r="K54" s="90"/>
      <c r="L54" s="90"/>
      <c r="M54" s="122"/>
      <c r="N54" s="90"/>
    </row>
    <row r="55" customFormat="false" ht="15.75" hidden="false" customHeight="true" outlineLevel="0" collapsed="false">
      <c r="A55" s="111" t="e">
        <f aca="false">'[1]doa stretch &amp; konven'!i37</f>
        <v>#NAME?</v>
      </c>
      <c r="B55" s="112" t="n">
        <f aca="false">SUM(B43:B54)</f>
        <v>11800000000.59</v>
      </c>
      <c r="C55" s="112" t="n">
        <f aca="false">SUM(C43:C54)</f>
        <v>2360000000.118</v>
      </c>
      <c r="D55" s="112" t="n">
        <f aca="false">SUM(D43:D54)</f>
        <v>9440000000.472</v>
      </c>
      <c r="E55" s="112" t="n">
        <f aca="false">SUM(E43:E54)</f>
        <v>826000000.0413</v>
      </c>
      <c r="F55" s="106"/>
      <c r="G55" s="117"/>
      <c r="H55" s="112" t="n">
        <f aca="false">SUM(H43:H54)</f>
        <v>0</v>
      </c>
      <c r="I55" s="112" t="n">
        <f aca="false">SUM(I43:I54)</f>
        <v>0</v>
      </c>
      <c r="J55" s="106"/>
    </row>
    <row r="56" customFormat="false" ht="15.75" hidden="false" customHeight="true" outlineLevel="0" collapsed="false">
      <c r="A56" s="115" t="s">
        <v>111</v>
      </c>
      <c r="B56" s="116" t="n">
        <v>365</v>
      </c>
      <c r="C56" s="117" t="n">
        <f aca="false">C55/$B$37</f>
        <v>6465753.42498082</v>
      </c>
      <c r="D56" s="117" t="n">
        <f aca="false">D55/$B$37</f>
        <v>25863013.6999233</v>
      </c>
      <c r="E56" s="106"/>
      <c r="F56" s="106"/>
      <c r="G56" s="117"/>
      <c r="H56" s="106"/>
      <c r="I56" s="106"/>
      <c r="J56" s="106"/>
    </row>
    <row r="57" customFormat="false" ht="15.75" hidden="false" customHeight="true" outlineLevel="0" collapsed="false">
      <c r="A57" s="106"/>
      <c r="B57" s="93"/>
      <c r="C57" s="93"/>
      <c r="D57" s="93"/>
      <c r="E57" s="106"/>
      <c r="F57" s="106"/>
      <c r="G57" s="93"/>
      <c r="H57" s="106"/>
      <c r="I57" s="106"/>
      <c r="J57" s="106"/>
    </row>
    <row r="59" customFormat="false" ht="15.75" hidden="false" customHeight="true" outlineLevel="0" collapsed="false">
      <c r="A59" s="99" t="s">
        <v>38</v>
      </c>
      <c r="B59" s="99"/>
      <c r="C59" s="99"/>
      <c r="D59" s="99"/>
      <c r="F59" s="118"/>
    </row>
    <row r="60" customFormat="false" ht="15.75" hidden="false" customHeight="true" outlineLevel="0" collapsed="false">
      <c r="A60" s="101" t="s">
        <v>63</v>
      </c>
      <c r="B60" s="101" t="s">
        <v>130</v>
      </c>
      <c r="C60" s="102" t="s">
        <v>122</v>
      </c>
      <c r="D60" s="102" t="s">
        <v>129</v>
      </c>
      <c r="E60" s="102" t="s">
        <v>124</v>
      </c>
      <c r="F60" s="100"/>
      <c r="G60" s="123" t="s">
        <v>124</v>
      </c>
    </row>
    <row r="61" customFormat="false" ht="15.75" hidden="false" customHeight="true" outlineLevel="0" collapsed="false">
      <c r="A61" s="101"/>
      <c r="B61" s="101"/>
      <c r="C61" s="106"/>
      <c r="D61" s="120"/>
      <c r="E61" s="106"/>
      <c r="G61" s="124"/>
    </row>
    <row r="62" customFormat="false" ht="15.75" hidden="false" customHeight="true" outlineLevel="0" collapsed="false">
      <c r="A62" s="106" t="str">
        <f aca="false">A43</f>
        <v>Januari</v>
      </c>
      <c r="B62" s="93" t="n">
        <f aca="false">C4</f>
        <v>22636258.2833333</v>
      </c>
      <c r="C62" s="121" t="n">
        <v>0.02</v>
      </c>
      <c r="D62" s="109" t="n">
        <v>37000</v>
      </c>
      <c r="E62" s="93" t="n">
        <v>71000</v>
      </c>
      <c r="F62" s="90" t="n">
        <f aca="false">(D62*C62)*E62</f>
        <v>52540000</v>
      </c>
      <c r="G62" s="125" t="n">
        <v>37700</v>
      </c>
      <c r="I62" s="90" t="n">
        <f aca="false">B62</f>
        <v>22636258.2833333</v>
      </c>
      <c r="J62" s="90"/>
      <c r="K62" s="90"/>
      <c r="L62" s="90"/>
    </row>
    <row r="63" customFormat="false" ht="15.75" hidden="false" customHeight="true" outlineLevel="0" collapsed="false">
      <c r="A63" s="106" t="str">
        <f aca="false">A44</f>
        <v>Februari</v>
      </c>
      <c r="B63" s="93" t="n">
        <f aca="false">C5</f>
        <v>22636258.2833333</v>
      </c>
      <c r="C63" s="121" t="n">
        <v>0.02</v>
      </c>
      <c r="D63" s="109" t="n">
        <v>42000</v>
      </c>
      <c r="E63" s="93" t="n">
        <v>71000</v>
      </c>
      <c r="F63" s="90" t="n">
        <f aca="false">(D63*C63)*E63</f>
        <v>59640000</v>
      </c>
      <c r="G63" s="125" t="n">
        <v>37700</v>
      </c>
      <c r="I63" s="90" t="n">
        <f aca="false">B63</f>
        <v>22636258.2833333</v>
      </c>
      <c r="J63" s="90"/>
      <c r="K63" s="90"/>
      <c r="L63" s="90"/>
    </row>
    <row r="64" customFormat="false" ht="15.75" hidden="false" customHeight="true" outlineLevel="0" collapsed="false">
      <c r="A64" s="106" t="str">
        <f aca="false">A45</f>
        <v>Maret</v>
      </c>
      <c r="B64" s="93" t="n">
        <f aca="false">C6</f>
        <v>22636258.2833333</v>
      </c>
      <c r="C64" s="121" t="n">
        <v>0.02</v>
      </c>
      <c r="D64" s="109" t="n">
        <v>47100</v>
      </c>
      <c r="E64" s="93" t="n">
        <v>71000</v>
      </c>
      <c r="F64" s="90" t="n">
        <f aca="false">(D64*C64)*E64</f>
        <v>66882000</v>
      </c>
      <c r="G64" s="125" t="n">
        <v>37700</v>
      </c>
      <c r="I64" s="90" t="n">
        <f aca="false">B64</f>
        <v>22636258.2833333</v>
      </c>
      <c r="J64" s="90"/>
      <c r="K64" s="90"/>
      <c r="L64" s="90"/>
    </row>
    <row r="65" customFormat="false" ht="15.75" hidden="false" customHeight="true" outlineLevel="0" collapsed="false">
      <c r="A65" s="106" t="str">
        <f aca="false">A46</f>
        <v>April</v>
      </c>
      <c r="B65" s="93" t="n">
        <f aca="false">C7</f>
        <v>39008112.7966667</v>
      </c>
      <c r="C65" s="121" t="n">
        <v>0.02</v>
      </c>
      <c r="D65" s="109" t="n">
        <v>28200</v>
      </c>
      <c r="E65" s="93" t="n">
        <v>71000</v>
      </c>
      <c r="F65" s="90" t="n">
        <f aca="false">(D65*C65)*E65</f>
        <v>40044000</v>
      </c>
      <c r="G65" s="125" t="n">
        <v>37700</v>
      </c>
      <c r="I65" s="90" t="n">
        <f aca="false">B65</f>
        <v>39008112.7966667</v>
      </c>
      <c r="J65" s="90"/>
      <c r="K65" s="90"/>
      <c r="L65" s="90"/>
    </row>
    <row r="66" customFormat="false" ht="15.75" hidden="false" customHeight="true" outlineLevel="0" collapsed="false">
      <c r="A66" s="106" t="str">
        <f aca="false">A47</f>
        <v>Mei</v>
      </c>
      <c r="B66" s="93" t="n">
        <f aca="false">C8</f>
        <v>39008112.7966667</v>
      </c>
      <c r="C66" s="121" t="n">
        <v>0.02</v>
      </c>
      <c r="D66" s="109" t="n">
        <v>30700</v>
      </c>
      <c r="E66" s="93" t="n">
        <v>71000</v>
      </c>
      <c r="F66" s="90" t="n">
        <f aca="false">(D66*C66)*E66</f>
        <v>43594000</v>
      </c>
      <c r="G66" s="125" t="n">
        <v>37700</v>
      </c>
      <c r="I66" s="90" t="n">
        <f aca="false">B66</f>
        <v>39008112.7966667</v>
      </c>
      <c r="J66" s="90"/>
      <c r="K66" s="90"/>
      <c r="L66" s="90"/>
    </row>
    <row r="67" customFormat="false" ht="15.75" hidden="false" customHeight="true" outlineLevel="0" collapsed="false">
      <c r="A67" s="106" t="str">
        <f aca="false">A48</f>
        <v>Juni</v>
      </c>
      <c r="B67" s="93" t="n">
        <f aca="false">C9</f>
        <v>39008112.7966667</v>
      </c>
      <c r="C67" s="121" t="n">
        <v>0.02</v>
      </c>
      <c r="D67" s="109" t="n">
        <v>32000</v>
      </c>
      <c r="E67" s="93" t="n">
        <v>71000</v>
      </c>
      <c r="F67" s="90" t="n">
        <f aca="false">(D67*C67)*E67</f>
        <v>45440000</v>
      </c>
      <c r="G67" s="126" t="n">
        <v>37700</v>
      </c>
      <c r="I67" s="90" t="n">
        <f aca="false">B67</f>
        <v>39008112.7966667</v>
      </c>
      <c r="J67" s="90"/>
      <c r="K67" s="90"/>
      <c r="L67" s="90"/>
    </row>
    <row r="68" customFormat="false" ht="15.75" hidden="false" customHeight="true" outlineLevel="0" collapsed="false">
      <c r="A68" s="106" t="str">
        <f aca="false">A49</f>
        <v>July</v>
      </c>
      <c r="B68" s="93" t="n">
        <f aca="false">C10</f>
        <v>34181260.13</v>
      </c>
      <c r="C68" s="121" t="n">
        <v>0.02</v>
      </c>
      <c r="D68" s="109" t="n">
        <v>21500</v>
      </c>
      <c r="E68" s="93" t="n">
        <v>71000</v>
      </c>
      <c r="F68" s="90" t="n">
        <f aca="false">(D68*C68)*E68</f>
        <v>30530000</v>
      </c>
      <c r="G68" s="90" t="n">
        <v>37700</v>
      </c>
      <c r="I68" s="90" t="n">
        <f aca="false">B68</f>
        <v>34181260.13</v>
      </c>
      <c r="J68" s="90"/>
      <c r="K68" s="90"/>
      <c r="L68" s="90"/>
    </row>
    <row r="69" customFormat="false" ht="15.75" hidden="false" customHeight="true" outlineLevel="0" collapsed="false">
      <c r="A69" s="106" t="str">
        <f aca="false">A50</f>
        <v>August</v>
      </c>
      <c r="B69" s="93" t="n">
        <f aca="false">C11</f>
        <v>34181260.13</v>
      </c>
      <c r="C69" s="121" t="n">
        <v>0.02</v>
      </c>
      <c r="D69" s="109" t="n">
        <v>21500</v>
      </c>
      <c r="E69" s="93" t="n">
        <v>71000</v>
      </c>
      <c r="F69" s="90" t="n">
        <f aca="false">(D69*C69)*E69</f>
        <v>30530000</v>
      </c>
      <c r="G69" s="90" t="n">
        <v>37700</v>
      </c>
      <c r="I69" s="90" t="n">
        <f aca="false">B69</f>
        <v>34181260.13</v>
      </c>
      <c r="J69" s="90"/>
      <c r="K69" s="90"/>
      <c r="L69" s="90"/>
    </row>
    <row r="70" customFormat="false" ht="15.75" hidden="false" customHeight="true" outlineLevel="0" collapsed="false">
      <c r="A70" s="106" t="str">
        <f aca="false">A51</f>
        <v>September</v>
      </c>
      <c r="B70" s="93" t="n">
        <f aca="false">C12</f>
        <v>34181260.13</v>
      </c>
      <c r="C70" s="121" t="n">
        <v>0.02</v>
      </c>
      <c r="D70" s="109" t="n">
        <v>21500</v>
      </c>
      <c r="E70" s="93" t="n">
        <v>71000</v>
      </c>
      <c r="F70" s="90" t="n">
        <f aca="false">(D70*C70)*E70</f>
        <v>30530000</v>
      </c>
      <c r="G70" s="90" t="n">
        <v>37700</v>
      </c>
      <c r="I70" s="90" t="n">
        <f aca="false">B70</f>
        <v>34181260.13</v>
      </c>
      <c r="J70" s="90"/>
      <c r="K70" s="90"/>
      <c r="L70" s="90"/>
    </row>
    <row r="71" customFormat="false" ht="15.75" hidden="false" customHeight="true" outlineLevel="0" collapsed="false">
      <c r="A71" s="106" t="str">
        <f aca="false">A52</f>
        <v>October</v>
      </c>
      <c r="B71" s="93" t="n">
        <f aca="false">C13</f>
        <v>37507702.13</v>
      </c>
      <c r="C71" s="121" t="n">
        <v>0.02</v>
      </c>
      <c r="D71" s="109" t="n">
        <v>24700</v>
      </c>
      <c r="E71" s="93" t="n">
        <v>71000</v>
      </c>
      <c r="F71" s="90" t="n">
        <f aca="false">(D71*C71)*E71</f>
        <v>35074000</v>
      </c>
      <c r="G71" s="90" t="n">
        <v>37700</v>
      </c>
      <c r="I71" s="90" t="n">
        <f aca="false">B71</f>
        <v>37507702.13</v>
      </c>
      <c r="J71" s="90"/>
      <c r="K71" s="90"/>
      <c r="L71" s="90"/>
    </row>
    <row r="72" customFormat="false" ht="15.75" hidden="false" customHeight="true" outlineLevel="0" collapsed="false">
      <c r="A72" s="106" t="str">
        <f aca="false">A53</f>
        <v>November</v>
      </c>
      <c r="B72" s="93" t="n">
        <f aca="false">C14</f>
        <v>37507702.13</v>
      </c>
      <c r="C72" s="121" t="n">
        <v>0.02</v>
      </c>
      <c r="D72" s="109" t="n">
        <v>24700</v>
      </c>
      <c r="E72" s="93" t="n">
        <v>71000</v>
      </c>
      <c r="F72" s="90" t="n">
        <f aca="false">(D72*C72)*E72</f>
        <v>35074000</v>
      </c>
      <c r="G72" s="90" t="n">
        <v>37700</v>
      </c>
      <c r="I72" s="90" t="n">
        <f aca="false">B72</f>
        <v>37507702.13</v>
      </c>
      <c r="J72" s="90"/>
      <c r="K72" s="90"/>
      <c r="L72" s="90"/>
    </row>
    <row r="73" customFormat="false" ht="15.75" hidden="false" customHeight="true" outlineLevel="0" collapsed="false">
      <c r="A73" s="106" t="str">
        <f aca="false">A54</f>
        <v>December</v>
      </c>
      <c r="B73" s="93" t="n">
        <f aca="false">C15</f>
        <v>37507702.13</v>
      </c>
      <c r="C73" s="121" t="n">
        <v>0.02</v>
      </c>
      <c r="D73" s="109" t="n">
        <v>24700</v>
      </c>
      <c r="E73" s="93" t="n">
        <v>71000</v>
      </c>
      <c r="F73" s="90" t="n">
        <f aca="false">(D73*C73)*E73</f>
        <v>35074000</v>
      </c>
      <c r="G73" s="90" t="n">
        <v>37700</v>
      </c>
      <c r="I73" s="90" t="n">
        <f aca="false">B73</f>
        <v>37507702.13</v>
      </c>
      <c r="J73" s="90"/>
      <c r="K73" s="90"/>
      <c r="L73" s="90"/>
    </row>
    <row r="74" customFormat="false" ht="15.75" hidden="false" customHeight="true" outlineLevel="0" collapsed="false">
      <c r="A74" s="111" t="e">
        <f aca="false">'[1]doa stretch &amp; konven'!i56</f>
        <v>#NAME?</v>
      </c>
      <c r="B74" s="112" t="n">
        <f aca="false">SUM(B62:B73)</f>
        <v>400000000.02</v>
      </c>
      <c r="C74" s="112"/>
      <c r="D74" s="112"/>
      <c r="E74" s="112"/>
      <c r="F74" s="127"/>
      <c r="G74" s="128" t="n">
        <f aca="false">SUM(E62:E73)</f>
        <v>852000</v>
      </c>
      <c r="H74" s="128" t="n">
        <f aca="false">SUM(F62:F73)</f>
        <v>504952000</v>
      </c>
    </row>
    <row r="75" customFormat="false" ht="15.75" hidden="false" customHeight="true" outlineLevel="0" collapsed="false">
      <c r="A75" s="115" t="s">
        <v>111</v>
      </c>
      <c r="B75" s="116" t="n">
        <v>365</v>
      </c>
      <c r="C75" s="117"/>
      <c r="D75" s="117"/>
      <c r="E75" s="106"/>
      <c r="F75" s="127"/>
    </row>
  </sheetData>
  <mergeCells count="6">
    <mergeCell ref="A1:F1"/>
    <mergeCell ref="A2:A3"/>
    <mergeCell ref="B2:B3"/>
    <mergeCell ref="A21:I21"/>
    <mergeCell ref="A40:D40"/>
    <mergeCell ref="A59:D59"/>
  </mergeCells>
  <conditionalFormatting sqref="N54">
    <cfRule type="cellIs" priority="2" operator="lessThan" aboveAverage="0" equalAverage="0" bottom="0" percent="0" rank="0" text="" dxfId="3">
      <formula>$M$54</formula>
    </cfRule>
  </conditionalFormatting>
  <conditionalFormatting sqref="N53">
    <cfRule type="cellIs" priority="3" operator="lessThan" aboveAverage="0" equalAverage="0" bottom="0" percent="0" rank="0" text="" dxfId="3">
      <formula>$M$53</formula>
    </cfRule>
  </conditionalFormatting>
  <conditionalFormatting sqref="N52">
    <cfRule type="cellIs" priority="4" operator="lessThan" aboveAverage="0" equalAverage="0" bottom="0" percent="0" rank="0" text="" dxfId="3">
      <formula>$M$52</formula>
    </cfRule>
  </conditionalFormatting>
  <conditionalFormatting sqref="N51">
    <cfRule type="cellIs" priority="5" operator="lessThan" aboveAverage="0" equalAverage="0" bottom="0" percent="0" rank="0" text="" dxfId="3">
      <formula>$M$51</formula>
    </cfRule>
  </conditionalFormatting>
  <conditionalFormatting sqref="N50">
    <cfRule type="cellIs" priority="6" operator="lessThan" aboveAverage="0" equalAverage="0" bottom="0" percent="0" rank="0" text="" dxfId="3">
      <formula>$M$50</formula>
    </cfRule>
  </conditionalFormatting>
  <conditionalFormatting sqref="N49">
    <cfRule type="cellIs" priority="7" operator="lessThan" aboveAverage="0" equalAverage="0" bottom="0" percent="0" rank="0" text="" dxfId="3">
      <formula>$M$49</formula>
    </cfRule>
  </conditionalFormatting>
  <conditionalFormatting sqref="N48">
    <cfRule type="cellIs" priority="8" operator="lessThan" aboveAverage="0" equalAverage="0" bottom="0" percent="0" rank="0" text="" dxfId="3">
      <formula>$M$48</formula>
    </cfRule>
  </conditionalFormatting>
  <conditionalFormatting sqref="N47">
    <cfRule type="cellIs" priority="9" operator="lessThan" aboveAverage="0" equalAverage="0" bottom="0" percent="0" rank="0" text="" dxfId="3">
      <formula>$M$47</formula>
    </cfRule>
  </conditionalFormatting>
  <conditionalFormatting sqref="N46">
    <cfRule type="cellIs" priority="10" operator="lessThan" aboveAverage="0" equalAverage="0" bottom="0" percent="0" rank="0" text="" dxfId="3">
      <formula>$M$46</formula>
    </cfRule>
  </conditionalFormatting>
  <conditionalFormatting sqref="N45">
    <cfRule type="cellIs" priority="11" operator="lessThan" aboveAverage="0" equalAverage="0" bottom="0" percent="0" rank="0" text="" dxfId="3">
      <formula>$M$45</formula>
    </cfRule>
  </conditionalFormatting>
  <conditionalFormatting sqref="N43">
    <cfRule type="cellIs" priority="12" operator="lessThan" aboveAverage="0" equalAverage="0" bottom="0" percent="0" rank="0" text="" dxfId="3">
      <formula>$M$43</formula>
    </cfRule>
    <cfRule type="cellIs" priority="13" operator="greaterThan" aboveAverage="0" equalAverage="0" bottom="0" percent="0" rank="0" text="" dxfId="3">
      <formula>$M$43</formula>
    </cfRule>
  </conditionalFormatting>
  <conditionalFormatting sqref="N44">
    <cfRule type="cellIs" priority="14" operator="lessThan" aboveAverage="0" equalAverage="0" bottom="0" percent="0" rank="0" text="" dxfId="3">
      <formula>$M$44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2026-06-08T02:41:44Z</dcterms:created>
  <dc:creator>Trias Abdullah</dc:creator>
  <dc:description/>
  <dc:language>en-US</dc:language>
  <cp:lastModifiedBy>Trias Abdullah</cp:lastModifiedBy>
  <dcterms:modified xsi:type="dcterms:W3CDTF">2026-06-08T03:20:42Z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